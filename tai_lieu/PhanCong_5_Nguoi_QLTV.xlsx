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ướng dẫn" sheetId="1" state="visible" r:id="rId2"/>
    <sheet name="Thành viên" sheetId="2" state="visible" r:id="rId3"/>
    <sheet name="Tổng hợp" sheetId="3" state="visible" r:id="rId4"/>
    <sheet name="Phân việc" sheetId="4" state="visible" r:id="rId5"/>
    <sheet name="Đối tượng CSDL" sheetId="5" state="visible" r:id="rId6"/>
    <sheet name="Mã lỗi" sheetId="6" state="visible" r:id="rId7"/>
    <sheet name="Mục báo cáo" sheetId="7" state="visible" r:id="rId8"/>
    <sheet name="Kiểm thử SQL" sheetId="8" state="visible" r:id="rId9"/>
    <sheet name="Giao diện" sheetId="9" state="visible" r:id="rId10"/>
    <sheet name="Lịch thuyết trình" sheetId="10" state="visible" r:id="rId11"/>
  </sheets>
  <definedNames>
    <definedName function="false" hidden="true" localSheetId="4" name="_xlnm._FilterDatabase" vbProcedure="false">'Đối tượng CSDL'!$A$4:$F$114</definedName>
    <definedName function="false" hidden="true" localSheetId="8" name="_xlnm._FilterDatabase" vbProcedure="false">'Giao diện'!$A$4:$G$27</definedName>
    <definedName function="false" hidden="true" localSheetId="7" name="_xlnm._FilterDatabase" vbProcedure="false">'Kiểm thử SQL'!$A$4:$D$56</definedName>
    <definedName function="false" hidden="true" localSheetId="5" name="_xlnm._FilterDatabase" vbProcedure="false">'Mã lỗi'!$A$4:$E$34</definedName>
    <definedName function="false" hidden="true" localSheetId="6" name="_xlnm._FilterDatabase" vbProcedure="false">'Mục báo cáo'!$A$4:$D$56</definedName>
    <definedName function="false" hidden="true" localSheetId="3" name="_xlnm._FilterDatabase" vbProcedure="false">'Phân việc'!$A$4:$J$43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<sst xmlns="http://schemas.openxmlformats.org/spreadsheetml/2006/main" count="1544" uniqueCount="774">
  <si>
    <t xml:space="preserve">Phân việc 5 thành viên – BTL Xây dựng hệ thống quản lý thư viện (MariaDB)</t>
  </si>
  <si>
    <t xml:space="preserve">Mỗi thành viên phụ trách trọn một mảng nghiệp vụ: từ yêu cầu, ERD, bảng, ràng buộc, trigger, transaction đến giao diện và ca kiểm thử của mảng đó.</t>
  </si>
  <si>
    <t xml:space="preserve">Cách dùng:</t>
  </si>
  <si>
    <t xml:space="preserve">1. Vào sheet 'Thành viên', điền họ tên, mã học viên, liên lạc vào các ô nền vàng (ví dụ: Nguyễn Văn A | B25CHHT001 | 09xx xxx xxx). Các sheet khác tự lấy họ tên theo mã TV.</t>
  </si>
  <si>
    <t xml:space="preserve">2. Sheet 'Phân việc' là danh sách đầu việc của từng người. Cột 'Mức nắm' (nền vàng) chọn Chưa đọc / Đang học / Đã nắm để theo dõi việc chuẩn bị thuyết trình.</t>
  </si>
  <si>
    <t xml:space="preserve">3. Sheet 'Tổng hợp' tự đếm khối lượng của từng người và kiểm tra tổng có khớp số đối tượng thật trong CSDL không.</t>
  </si>
  <si>
    <t xml:space="preserve">4. Muốn đổi người phụ trách một mục: sửa mã ở cột 'TV' (chọn trong danh sách TV1–TV5); họ tên và bảng tổng hợp tự cập nhật.</t>
  </si>
  <si>
    <t xml:space="preserve">Các sheet:</t>
  </si>
  <si>
    <t xml:space="preserve">Thành viên – mã TV, họ tên, mảng phụ trách, người review chéo</t>
  </si>
  <si>
    <t xml:space="preserve">Tổng hợp – số đầu việc, bảng, trigger, transaction, function, procedure, mục báo cáo, ca kiểm thử, thao tác giao diện của từng người</t>
  </si>
  <si>
    <t xml:space="preserve">Phân việc – đầu việc cụ thể, file sản phẩm, mục báo cáo tương ứng, người review</t>
  </si>
  <si>
    <t xml:space="preserve">Đối tượng CSDL – 23 bảng, 18 trigger, 7 transaction, 8 function, 40 procedure khác, event, view, chỉ mục, vai trò và người phụ trách</t>
  </si>
  <si>
    <t xml:space="preserve">Mã lỗi – 30 mã lỗi nghiệp vụ Exxx và người phụ trách</t>
  </si>
  <si>
    <t xml:space="preserve">Mục báo cáo – từng mục của báo cáo Word và người trình bày</t>
  </si>
  <si>
    <t xml:space="preserve">Kiểm thử SQL – 52 ca trong 08_test.sql và người chịu trách nhiệm (chủ đối tượng được kiểm thử; TV5 chạy cả bộ)</t>
  </si>
  <si>
    <t xml:space="preserve">Giao diện – 23 thao tác được kiểm thử tự động và người demo</t>
  </si>
  <si>
    <t xml:space="preserve">Lịch thuyết trình – thứ tự trình bày, nội dung, demo, thời lượng</t>
  </si>
  <si>
    <t xml:space="preserve">Ô nền vàng là ô cần điền. Số liệu lấy từ mã nguồn và báo cáo hiện tại (tai_lieu/BaoCao_BTL_QLTV.docx).</t>
  </si>
  <si>
    <t xml:space="preserve">Thành viên nhóm</t>
  </si>
  <si>
    <t xml:space="preserve">Điền họ tên, mã học viên, liên lạc vào ô nền vàng. Các sheet khác tự lấy họ tên theo mã TV. Người review là người thứ hai phải trả lời được câu hỏi về phần đó.</t>
  </si>
  <si>
    <t xml:space="preserve">Ví dụ cách điền: Họ tên 'Nguyễn Văn A', mã học viên 'B25CHHT001', liên lạc 'Zalo 09xx xxx xxx'.</t>
  </si>
  <si>
    <t xml:space="preserve">Mã TV</t>
  </si>
  <si>
    <t xml:space="preserve">Họ tên</t>
  </si>
  <si>
    <t xml:space="preserve">Mã học viên</t>
  </si>
  <si>
    <t xml:space="preserve">Mảng phụ trách</t>
  </si>
  <si>
    <t xml:space="preserve">Phần chung của báo cáo</t>
  </si>
  <si>
    <t xml:space="preserve">Người review</t>
  </si>
  <si>
    <t xml:space="preserve">Liên lạc</t>
  </si>
  <si>
    <t xml:space="preserve">TV1</t>
  </si>
  <si>
    <t xml:space="preserve">Sách và kho, trưởng nhóm</t>
  </si>
  <si>
    <t xml:space="preserve">Lời mở đầu, 1.1–1.3, chương 2, 4.6, kết luận</t>
  </si>
  <si>
    <t xml:space="preserve">TV3</t>
  </si>
  <si>
    <t xml:space="preserve">TV2</t>
  </si>
  <si>
    <t xml:space="preserve">Con người, chi nhánh, dữ liệu 3 tháng</t>
  </si>
  <si>
    <t xml:space="preserve">Chương 3, 4.3, 4.4</t>
  </si>
  <si>
    <t xml:space="preserve">TV4</t>
  </si>
  <si>
    <t xml:space="preserve">Mượn, trả, phạt</t>
  </si>
  <si>
    <t xml:space="preserve">1.4, 4.5, 4.7</t>
  </si>
  <si>
    <t xml:space="preserve">Phòng đọc và CSDL phân tán</t>
  </si>
  <si>
    <t xml:space="preserve">Chương 5</t>
  </si>
  <si>
    <t xml:space="preserve">TV5</t>
  </si>
  <si>
    <t xml:space="preserve">Truy vấn, tối ưu, bảo mật, kiểm thử, giao diện</t>
  </si>
  <si>
    <t xml:space="preserve">4.1–4.2, 4.8–4.13</t>
  </si>
  <si>
    <t xml:space="preserve">Tổng hợp khối lượng theo người</t>
  </si>
  <si>
    <t xml:space="preserve">Tự đếm từ các sheet khác. Dòng 'Số thực tế trong CSDL' lấy từ mã nguồn hiện tại; dòng 'Kiểm tra' báo Khớp khi đã chia hết, không sót, không trùng.</t>
  </si>
  <si>
    <t xml:space="preserve">TV</t>
  </si>
  <si>
    <t xml:space="preserve">Đầu việc</t>
  </si>
  <si>
    <t xml:space="preserve">Đã nắm</t>
  </si>
  <si>
    <t xml:space="preserve">% đã nắm</t>
  </si>
  <si>
    <t xml:space="preserve">Bảng</t>
  </si>
  <si>
    <t xml:space="preserve">Trigger</t>
  </si>
  <si>
    <t xml:space="preserve">Transaction</t>
  </si>
  <si>
    <t xml:space="preserve">Function</t>
  </si>
  <si>
    <t xml:space="preserve">Procedure khác</t>
  </si>
  <si>
    <t xml:space="preserve">Mã lỗi</t>
  </si>
  <si>
    <t xml:space="preserve">Mục báo cáo</t>
  </si>
  <si>
    <t xml:space="preserve">Ca kiểm thử</t>
  </si>
  <si>
    <t xml:space="preserve">Thao tác giao diện</t>
  </si>
  <si>
    <t xml:space="preserve">Tổng</t>
  </si>
  <si>
    <t xml:space="preserve">Số thực tế trong CSDL</t>
  </si>
  <si>
    <t xml:space="preserve">Kiểm tra</t>
  </si>
  <si>
    <t xml:space="preserve">Procedure khác = 47 procedure − 7 transaction = 40. Số thực tế đếm từ 01–07 *.sql và 08_test.sql ngày lập file; số mã lỗi lấy từ mục 4.12 của báo cáo.</t>
  </si>
  <si>
    <t xml:space="preserve">Đầu việc và Mục báo cáo không có số chuẩn để so vì có thể thêm bớt tùy nhóm.</t>
  </si>
  <si>
    <t xml:space="preserve">Phân việc chi tiết</t>
  </si>
  <si>
    <t xml:space="preserve">Mỗi dòng là một đầu việc. Cột 'Mức nắm' và 'Ghi chú' (nền vàng) do từng người tự cập nhật.</t>
  </si>
  <si>
    <t xml:space="preserve">Mã việc</t>
  </si>
  <si>
    <t xml:space="preserve">Nhóm việc</t>
  </si>
  <si>
    <t xml:space="preserve">Sản phẩm / file</t>
  </si>
  <si>
    <t xml:space="preserve">Review</t>
  </si>
  <si>
    <t xml:space="preserve">Mức nắm</t>
  </si>
  <si>
    <t xml:space="preserve">Ghi chú</t>
  </si>
  <si>
    <t xml:space="preserve">TV1-01</t>
  </si>
  <si>
    <t xml:space="preserve">Phân tích</t>
  </si>
  <si>
    <t xml:space="preserve">Mô tả nghiệp vụ, thông tin cần lưu, ứng dụng triển khai</t>
  </si>
  <si>
    <t xml:space="preserve">P1_phan_tich_ERD.md</t>
  </si>
  <si>
    <t xml:space="preserve">1.1–1.3</t>
  </si>
  <si>
    <t xml:space="preserve">Chưa đọc</t>
  </si>
  <si>
    <t xml:space="preserve">TV1-02</t>
  </si>
  <si>
    <t xml:space="preserve">Thiết kế</t>
  </si>
  <si>
    <t xml:space="preserve">ERD tổng: tập thực thể, liên kết, đối chiếu đủ các loại, ký hiệu sơ đồ</t>
  </si>
  <si>
    <t xml:space="preserve">erd/erd.drawio</t>
  </si>
  <si>
    <t xml:space="preserve">2.1–2.4</t>
  </si>
  <si>
    <t xml:space="preserve">TV1-03</t>
  </si>
  <si>
    <t xml:space="preserve">Cài đặt SQL</t>
  </si>
  <si>
    <t xml:space="preserve">8 bảng mảng sách và kho, ràng buộc CHECK/FK/UNIQUE</t>
  </si>
  <si>
    <t xml:space="preserve">01_schema.sql</t>
  </si>
  <si>
    <t xml:space="preserve">3.2, 4.4</t>
  </si>
  <si>
    <t xml:space="preserve">TV1-04</t>
  </si>
  <si>
    <t xml:space="preserve">15 procedure thêm/sửa/xóa/tìm phòng kho, giá, đầu sách, cuốn sách</t>
  </si>
  <si>
    <t xml:space="preserve">02_function_procedure.sql</t>
  </si>
  <si>
    <t xml:space="preserve">4.6</t>
  </si>
  <si>
    <t xml:space="preserve">TV1-05</t>
  </si>
  <si>
    <t xml:space="preserve">Trigger TRG4 (đếm sách trên giá), TRG5 (tuổi thọ khi mượn), TRG6 (đúng giá, giá đầy)</t>
  </si>
  <si>
    <t xml:space="preserve">03_trigger.sql</t>
  </si>
  <si>
    <t xml:space="preserve">4.5, 4.7</t>
  </si>
  <si>
    <t xml:space="preserve">TV1-06</t>
  </si>
  <si>
    <t xml:space="preserve">TX4 nhập lô sách, TX5 thanh lý sách hết niên hạn</t>
  </si>
  <si>
    <t xml:space="preserve">04_transaction.sql</t>
  </si>
  <si>
    <t xml:space="preserve">4.7</t>
  </si>
  <si>
    <t xml:space="preserve">TV1-07</t>
  </si>
  <si>
    <t xml:space="preserve">Tuổi thọ giảm theo thời gian: sp_CapNhatTuoiTho và event chạy mỗi ngày</t>
  </si>
  <si>
    <t xml:space="preserve">4.6, 4.7</t>
  </si>
  <si>
    <t xml:space="preserve">TV1-08</t>
  </si>
  <si>
    <t xml:space="preserve">Giao diện</t>
  </si>
  <si>
    <t xml:space="preserve">Trang Sách &amp; kho: phòng kho, giá sách, xóa cuốn sách</t>
  </si>
  <si>
    <t xml:space="preserve">app/app.py</t>
  </si>
  <si>
    <t xml:space="preserve">4.13</t>
  </si>
  <si>
    <t xml:space="preserve">TV1-09</t>
  </si>
  <si>
    <t xml:space="preserve">Báo cáo</t>
  </si>
  <si>
    <t xml:space="preserve">Lời mở đầu, kết luận, ghép báo cáo Word</t>
  </si>
  <si>
    <t xml:space="preserve">baocao/assemble.py, build_docx.js</t>
  </si>
  <si>
    <t xml:space="preserve">Mở đầu, Kết luận</t>
  </si>
  <si>
    <t xml:space="preserve">TV2-01</t>
  </si>
  <si>
    <t xml:space="preserve">6 bảng con người và chi nhánh: ISA, quan_ly đệ quy, khóa ngoại vòng trưởng chi nhánh</t>
  </si>
  <si>
    <t xml:space="preserve">TV2-02</t>
  </si>
  <si>
    <t xml:space="preserve">fn_Tuoi, fn_TheConHan, fn_MaNguoiMoi và 12 procedure chi nhánh, độc giả, thủ thư</t>
  </si>
  <si>
    <t xml:space="preserve">TV2-03</t>
  </si>
  <si>
    <t xml:space="preserve">Trigger TRG8 (toàn vẹn độc giả, ISA), TX6 đăng ký độc giả</t>
  </si>
  <si>
    <t xml:space="preserve">03_trigger.sql, 04_transaction.sql</t>
  </si>
  <si>
    <t xml:space="preserve">TV2-04</t>
  </si>
  <si>
    <t xml:space="preserve">Dữ liệu</t>
  </si>
  <si>
    <t xml:space="preserve">Dữ liệu vận hành 3 tháng sinh bằng chính các transaction</t>
  </si>
  <si>
    <t xml:space="preserve">sql/gen_seed.py → 05_seed.sql</t>
  </si>
  <si>
    <t xml:space="preserve">4.3</t>
  </si>
  <si>
    <t xml:space="preserve">TV2-05</t>
  </si>
  <si>
    <t xml:space="preserve">Quy tắc ánh xạ, 23 lược đồ quan hệ, phụ thuộc hàm, BCNF, MinCover</t>
  </si>
  <si>
    <t xml:space="preserve">P2_chuan_hoa.md</t>
  </si>
  <si>
    <t xml:space="preserve">3.1–3.6</t>
  </si>
  <si>
    <t xml:space="preserve">TV2-06</t>
  </si>
  <si>
    <t xml:space="preserve">Sơ đồ lược đồ quan hệ và từ điển dữ liệu</t>
  </si>
  <si>
    <t xml:space="preserve">baocao/gen_tudien.py</t>
  </si>
  <si>
    <t xml:space="preserve">3.7–3.8</t>
  </si>
  <si>
    <t xml:space="preserve">TV2-07</t>
  </si>
  <si>
    <t xml:space="preserve">Toàn bộ ràng buộc toàn vẹn cài đặt bằng SQL</t>
  </si>
  <si>
    <t xml:space="preserve">BaoCao.md</t>
  </si>
  <si>
    <t xml:space="preserve">4.4</t>
  </si>
  <si>
    <t xml:space="preserve">TV2-08</t>
  </si>
  <si>
    <t xml:space="preserve">Trang Độc giả và Thủ thư &amp; chi nhánh</t>
  </si>
  <si>
    <t xml:space="preserve">TV3-01</t>
  </si>
  <si>
    <t xml:space="preserve">6 bảng mượn, trả, phạt; liên kết kết hợp gom_sach</t>
  </si>
  <si>
    <t xml:space="preserve">TV3-02</t>
  </si>
  <si>
    <t xml:space="preserve">fn_SoSachDangMuon, fn_NoPhat, fn_HanTra, fn_TinhTienPhat</t>
  </si>
  <si>
    <t xml:space="preserve">TV3-03</t>
  </si>
  <si>
    <t xml:space="preserve">Trigger TRG1 (10 cuốn/lần), TRG2 (50 cuốn), TRG3 (trả, lập phiếu phạt), TRG4 (đổi trạng thái cuốn)</t>
  </si>
  <si>
    <t xml:space="preserve">TV3-04</t>
  </si>
  <si>
    <t xml:space="preserve">TX1 mượn, TX2 trả, TX3 thanh toán phạt (FOR UPDATE, JSON_TABLE, ROLLBACK)</t>
  </si>
  <si>
    <t xml:space="preserve">TV3-05</t>
  </si>
  <si>
    <t xml:space="preserve">Ràng buộc về số lượng bản ghi</t>
  </si>
  <si>
    <t xml:space="preserve">1.4</t>
  </si>
  <si>
    <t xml:space="preserve">TV3-06</t>
  </si>
  <si>
    <t xml:space="preserve">Danh sách trigger, đặc tả trigger và transaction</t>
  </si>
  <si>
    <t xml:space="preserve">TV3-07</t>
  </si>
  <si>
    <t xml:space="preserve">Trang Mượn sách và Trả sách &amp; phạt</t>
  </si>
  <si>
    <t xml:space="preserve">TV4-01</t>
  </si>
  <si>
    <t xml:space="preserve">3 bảng phòng đọc; liên kết 3 ngôi thue_phong</t>
  </si>
  <si>
    <t xml:space="preserve">TV4-02</t>
  </si>
  <si>
    <t xml:space="preserve">Trigger TRG7 (không trùng giờ), TX7 thuê phòng, fn_TienThuePhong, sp_ThuePhong_BaoGia, 4 procedure phòng đọc</t>
  </si>
  <si>
    <t xml:space="preserve">02, 03, 04 .sql</t>
  </si>
  <si>
    <t xml:space="preserve">4.5–4.7</t>
  </si>
  <si>
    <t xml:space="preserve">TV4-03</t>
  </si>
  <si>
    <t xml:space="preserve">Trang Phòng đọc: báo giá theo giờ, thuê phòng, thêm/sửa/xóa phòng</t>
  </si>
  <si>
    <t xml:space="preserve">TV4-04</t>
  </si>
  <si>
    <t xml:space="preserve">Phân tán</t>
  </si>
  <si>
    <t xml:space="preserve">Kiến trúc, số liệu giả định, phân mảnh ngang nguyên thủy DOC_GIA (COM_MIN, PHORIZONTAL)</t>
  </si>
  <si>
    <t xml:space="preserve">P8_phan_tan.md</t>
  </si>
  <si>
    <t xml:space="preserve">5.1–5.3</t>
  </si>
  <si>
    <t xml:space="preserve">TV4-05</t>
  </si>
  <si>
    <t xml:space="preserve">Phân mảnh ngang dẫn xuất (bán kết nối)</t>
  </si>
  <si>
    <t xml:space="preserve">5.4</t>
  </si>
  <si>
    <t xml:space="preserve">TV4-06</t>
  </si>
  <si>
    <t xml:space="preserve">Phân mảnh dọc và lai NGUOI bằng BEA</t>
  </si>
  <si>
    <t xml:space="preserve">phan_tan/bea.py</t>
  </si>
  <si>
    <t xml:space="preserve">5.5</t>
  </si>
  <si>
    <t xml:space="preserve">TV4-07</t>
  </si>
  <si>
    <t xml:space="preserve">Kiểm tra tính đúng đắn, cấp phát, nhân bản, sơ đồ tổng thể</t>
  </si>
  <si>
    <t xml:space="preserve">5.6–5.8</t>
  </si>
  <si>
    <t xml:space="preserve">TV4-08</t>
  </si>
  <si>
    <t xml:space="preserve">Minh họa 3 site QLTV_CN01..03, 36 ca kiểm tra</t>
  </si>
  <si>
    <t xml:space="preserve">09_phan_tan.sql, gen_phantan.py</t>
  </si>
  <si>
    <t xml:space="preserve">5.9</t>
  </si>
  <si>
    <t xml:space="preserve">TV5-01</t>
  </si>
  <si>
    <t xml:space="preserve">Cài đặt</t>
  </si>
  <si>
    <t xml:space="preserve">Môi trường, quy trình cài đặt, Docker, README</t>
  </si>
  <si>
    <t xml:space="preserve">docker-compose.yml, README.md</t>
  </si>
  <si>
    <t xml:space="preserve">4.1–4.2</t>
  </si>
  <si>
    <t xml:space="preserve">TV5-02</t>
  </si>
  <si>
    <t xml:space="preserve">Truy vấn</t>
  </si>
  <si>
    <t xml:space="preserve">6 truy vấn theo đề: 5 view, 7 procedure báo cáo, biểu thức đại số quan hệ</t>
  </si>
  <si>
    <t xml:space="preserve">06_view_baocao.sql</t>
  </si>
  <si>
    <t xml:space="preserve">4.8</t>
  </si>
  <si>
    <t xml:space="preserve">TV5-03</t>
  </si>
  <si>
    <t xml:space="preserve">Tối ưu</t>
  </si>
  <si>
    <t xml:space="preserve">6 chỉ mục, so sánh EXPLAIN trước/sau</t>
  </si>
  <si>
    <t xml:space="preserve">07_index_baomat.sql</t>
  </si>
  <si>
    <t xml:space="preserve">4.9</t>
  </si>
  <si>
    <t xml:space="preserve">TV5-04</t>
  </si>
  <si>
    <t xml:space="preserve">Bảo mật</t>
  </si>
  <si>
    <t xml:space="preserve">Vai trò r_ThuThu, r_QuanLy, tài khoản tt_cn01, ql_thuvien</t>
  </si>
  <si>
    <t xml:space="preserve">4.10</t>
  </si>
  <si>
    <t xml:space="preserve">TV5-05</t>
  </si>
  <si>
    <t xml:space="preserve">Kiểm thử</t>
  </si>
  <si>
    <t xml:space="preserve">52 ca kiểm thử ràng buộc, trigger, transaction</t>
  </si>
  <si>
    <t xml:space="preserve">08_test.sql, baocao/gen_muc4.py</t>
  </si>
  <si>
    <t xml:space="preserve">4.11</t>
  </si>
  <si>
    <t xml:space="preserve">TV5-06</t>
  </si>
  <si>
    <t xml:space="preserve">Bảng mã lỗi nghiệp vụ</t>
  </si>
  <si>
    <t xml:space="preserve">4.12</t>
  </si>
  <si>
    <t xml:space="preserve">TV5-07</t>
  </si>
  <si>
    <t xml:space="preserve">Khung giao diện, kết nối CSDL, kiểm thử tự động 23 thao tác, trang Báo cáo</t>
  </si>
  <si>
    <t xml:space="preserve">app/app.py, db.py, chup_man_hinh.py</t>
  </si>
  <si>
    <t xml:space="preserve">Đối tượng trong CSDL QLTV và người phụ trách</t>
  </si>
  <si>
    <t xml:space="preserve">Mỗi đối tượng thuộc đúng một người. Loại 'Transaction' là 7 procedure TX1–TX7; 'Procedure' là 40 procedure còn lại (tổng 47).</t>
  </si>
  <si>
    <t xml:space="preserve">Loại</t>
  </si>
  <si>
    <t xml:space="preserve">Tên</t>
  </si>
  <si>
    <t xml:space="preserve">Mô tả</t>
  </si>
  <si>
    <t xml:space="preserve">File</t>
  </si>
  <si>
    <t xml:space="preserve">CHI_NHANH</t>
  </si>
  <si>
    <t xml:space="preserve">Chi nhánh thư viện</t>
  </si>
  <si>
    <t xml:space="preserve">NGUOI</t>
  </si>
  <si>
    <t xml:space="preserve">Người – lớp cha của độc giả và thủ thư (ISA)</t>
  </si>
  <si>
    <t xml:space="preserve">SDT_NGUOI</t>
  </si>
  <si>
    <t xml:space="preserve">Số điện thoại của người (thuộc tính đa trị)</t>
  </si>
  <si>
    <t xml:space="preserve">DOC_GIA</t>
  </si>
  <si>
    <t xml:space="preserve">Độc giả (lớp con)</t>
  </si>
  <si>
    <t xml:space="preserve">THE_DOC_GIA</t>
  </si>
  <si>
    <t xml:space="preserve">Thẻ độc giả</t>
  </si>
  <si>
    <t xml:space="preserve">THU_THU</t>
  </si>
  <si>
    <t xml:space="preserve">Thủ thư (lớp con)</t>
  </si>
  <si>
    <t xml:space="preserve">THE_LOAI</t>
  </si>
  <si>
    <t xml:space="preserve">Thể loại sách</t>
  </si>
  <si>
    <t xml:space="preserve">BANG_PHI_PHAT</t>
  </si>
  <si>
    <t xml:space="preserve">Biểu phí phạt theo thể loại (thực thể yếu)</t>
  </si>
  <si>
    <t xml:space="preserve">TAC_GIA</t>
  </si>
  <si>
    <t xml:space="preserve">Tác giả</t>
  </si>
  <si>
    <t xml:space="preserve">DAU_SACH</t>
  </si>
  <si>
    <t xml:space="preserve">Đầu sách</t>
  </si>
  <si>
    <t xml:space="preserve">DAU_SACH_TAC_GIA</t>
  </si>
  <si>
    <t xml:space="preserve">Liên kết N:N đầu sách – tác giả</t>
  </si>
  <si>
    <t xml:space="preserve">PHONG_KHO</t>
  </si>
  <si>
    <t xml:space="preserve">Phòng đựng sách</t>
  </si>
  <si>
    <t xml:space="preserve">GIA_SACH</t>
  </si>
  <si>
    <t xml:space="preserve">Giá sách</t>
  </si>
  <si>
    <t xml:space="preserve">CUON_SACH</t>
  </si>
  <si>
    <t xml:space="preserve">Cuốn sách (thực thể yếu của đầu sách)</t>
  </si>
  <si>
    <t xml:space="preserve">SACH_THANH_LY</t>
  </si>
  <si>
    <t xml:space="preserve">Sách đã thanh lý</t>
  </si>
  <si>
    <t xml:space="preserve">PHIEU_MUON</t>
  </si>
  <si>
    <t xml:space="preserve">Phiếu mượn</t>
  </si>
  <si>
    <t xml:space="preserve">PHIEU_TRA</t>
  </si>
  <si>
    <t xml:space="preserve">Phiếu trả</t>
  </si>
  <si>
    <t xml:space="preserve">CT_MUON</t>
  </si>
  <si>
    <t xml:space="preserve">Chi tiết mượn – liên kết N:N phiếu mượn – cuốn sách</t>
  </si>
  <si>
    <t xml:space="preserve">PHIEU_PHAT</t>
  </si>
  <si>
    <t xml:space="preserve">Phiếu phạt trả muộn</t>
  </si>
  <si>
    <t xml:space="preserve">CT_MUON_LUU_TRU</t>
  </si>
  <si>
    <t xml:space="preserve">Lịch sử mượn của sách đã thanh lý</t>
  </si>
  <si>
    <t xml:space="preserve">LOAI_PHONG</t>
  </si>
  <si>
    <t xml:space="preserve">Loại phòng đọc</t>
  </si>
  <si>
    <t xml:space="preserve">PHONG_DOC</t>
  </si>
  <si>
    <t xml:space="preserve">Phòng đọc</t>
  </si>
  <si>
    <t xml:space="preserve">PHIEU_THUE_PHONG</t>
  </si>
  <si>
    <t xml:space="preserve">Phiếu thuê phòng (liên kết 3 ngôi thue_phong)</t>
  </si>
  <si>
    <t xml:space="preserve">trg_CTMuon_ToiDa10</t>
  </si>
  <si>
    <t xml:space="preserve">TRG1 – E101 (BEFORE INSERT trên CT_MUON)</t>
  </si>
  <si>
    <t xml:space="preserve">trg_CTMuon_ToiDa50</t>
  </si>
  <si>
    <t xml:space="preserve">TRG2 – Mượn cuốn đang được mượn → E104; DG0001 đang giữ 50 cuốn mượn thêm → E102 (BEFORE INSERT trên CT_MUON)</t>
  </si>
  <si>
    <t xml:space="preserve">trg_CTMuon_KiemTraTra</t>
  </si>
  <si>
    <t xml:space="preserve">TRG3 – Trả muộn bị phạt theo thể loại (BEFORE UPDATE trên CT_MUON)</t>
  </si>
  <si>
    <t xml:space="preserve">trg_CTMuon_LapPhieuPhat</t>
  </si>
  <si>
    <t xml:space="preserve">TRG3 – Trả muộn bị phạt theo thể loại (AFTER UPDATE trên CT_MUON)</t>
  </si>
  <si>
    <t xml:space="preserve">trg_CTMuon_Muon</t>
  </si>
  <si>
    <t xml:space="preserve">TRG4 – Toàn hệ thống: SoLuongHienCo khớp 100% (AFTER INSERT trên CT_MUON)</t>
  </si>
  <si>
    <t xml:space="preserve">trg_CTMuon_Tra</t>
  </si>
  <si>
    <t xml:space="preserve">TRG4 – Toàn hệ thống: SoLuongHienCo khớp 100% (AFTER UPDATE trên CT_MUON)</t>
  </si>
  <si>
    <t xml:space="preserve">trg_CuonSach_DemGia_Sua</t>
  </si>
  <si>
    <t xml:space="preserve">TRG4 – Toàn hệ thống: SoLuongHienCo khớp 100% (AFTER UPDATE trên CUON_SACH)</t>
  </si>
  <si>
    <t xml:space="preserve">trg_CuonSach_DemGia_Them</t>
  </si>
  <si>
    <t xml:space="preserve">TRG4 – Toàn hệ thống: SoLuongHienCo khớp 100% (AFTER INSERT trên CUON_SACH)</t>
  </si>
  <si>
    <t xml:space="preserve">trg_CuonSach_DemGia_Xoa</t>
  </si>
  <si>
    <t xml:space="preserve">TRG4 – Toàn hệ thống: SoLuongHienCo khớp 100% (AFTER DELETE trên CUON_SACH)</t>
  </si>
  <si>
    <t xml:space="preserve">trg_CTMuon_GiamTuoiTho</t>
  </si>
  <si>
    <t xml:space="preserve">TRG5 – 1 (AFTER INSERT trên CT_MUON)</t>
  </si>
  <si>
    <t xml:space="preserve">trg_CuonSach_DungGia_Sua</t>
  </si>
  <si>
    <t xml:space="preserve">TRG6 – Giá chỉ chứa sách cùng thể loại, không vượt sức chứa; sách hết tuổi thọ tách khỏi lưu thông (BEFORE UPDATE trên CUON_SACH)</t>
  </si>
  <si>
    <t xml:space="preserve">trg_CuonSach_DungGia_Them</t>
  </si>
  <si>
    <t xml:space="preserve">TRG6 – Giá chỉ chứa sách cùng thể loại, không vượt sức chứa; sách hết tuổi thọ tách khỏi lưu thông (BEFORE INSERT trên CUON_SACH)</t>
  </si>
  <si>
    <t xml:space="preserve">trg_ThuePhong_KhongTrung_Sua</t>
  </si>
  <si>
    <t xml:space="preserve">TRG7 – E201 (BEFORE UPDATE trên PHIEU_THUE_PHONG)</t>
  </si>
  <si>
    <t xml:space="preserve">trg_ThuePhong_KhongTrung_Them</t>
  </si>
  <si>
    <t xml:space="preserve">TRG7 – E201 (BEFORE INSERT trên PHIEU_THUE_PHONG)</t>
  </si>
  <si>
    <t xml:space="preserve">trg_DocGia_ChanSuaMa</t>
  </si>
  <si>
    <t xml:space="preserve">TRG8 – Đang giữ sách → E404; còn nợ phạt → E405; sửa mã → E406 (BEFORE UPDATE trên DOC_GIA)</t>
  </si>
  <si>
    <t xml:space="preserve">trg_DocGia_ChanXoa</t>
  </si>
  <si>
    <t xml:space="preserve">TRG8 – Đang giữ sách → E404; còn nợ phạt → E405; sửa mã → E406 (BEFORE DELETE trên DOC_GIA)</t>
  </si>
  <si>
    <t xml:space="preserve">trg_DocGia_DungLoai</t>
  </si>
  <si>
    <t xml:space="preserve">TRG8 – Đang giữ sách → E404; còn nợ phạt → E405; sửa mã → E406 (BEFORE INSERT trên DOC_GIA)</t>
  </si>
  <si>
    <t xml:space="preserve">trg_ThuThu_DungLoai</t>
  </si>
  <si>
    <t xml:space="preserve">TRG8 – Đang giữ sách → E404; còn nợ phạt → E405; sửa mã → E406 (BEFORE INSERT trên THU_THU)</t>
  </si>
  <si>
    <t xml:space="preserve">sp_MuonSach</t>
  </si>
  <si>
    <t xml:space="preserve">TX1 – Lập phiếu mượn 1–10 cuốn</t>
  </si>
  <si>
    <t xml:space="preserve">sp_TraSach</t>
  </si>
  <si>
    <t xml:space="preserve">TX2 – Trả 1 đến nhiều cuốn</t>
  </si>
  <si>
    <t xml:space="preserve">sp_ThanhToanPhat</t>
  </si>
  <si>
    <t xml:space="preserve">TX3 – Thu toàn bộ phạt chưa thanh toán</t>
  </si>
  <si>
    <t xml:space="preserve">sp_NhapLoSach</t>
  </si>
  <si>
    <t xml:space="preserve">TX4 – Nhập đầu sách mới, tác giả, n cuốn</t>
  </si>
  <si>
    <t xml:space="preserve">sp_ThanhLySach</t>
  </si>
  <si>
    <t xml:space="preserve">TX5 – Sách hết niên hạn tách khỏi CSDL đang quản lý</t>
  </si>
  <si>
    <t xml:space="preserve">sp_DangKyDocGia</t>
  </si>
  <si>
    <t xml:space="preserve">TX6 – Đăng ký độc giả</t>
  </si>
  <si>
    <t xml:space="preserve">sp_ThuePhong</t>
  </si>
  <si>
    <t xml:space="preserve">TX7 – Thuê phòng đọc</t>
  </si>
  <si>
    <t xml:space="preserve">fn_Tuoi</t>
  </si>
  <si>
    <t xml:space="preserve">Tính tuổi từ ngày sinh</t>
  </si>
  <si>
    <t xml:space="preserve">fn_TheConHan</t>
  </si>
  <si>
    <t xml:space="preserve">Thẻ độc giả còn hạn tại một ngày</t>
  </si>
  <si>
    <t xml:space="preserve">fn_MaNguoiMoi</t>
  </si>
  <si>
    <t xml:space="preserve">Sinh mã người mới (DG0001, TT001)</t>
  </si>
  <si>
    <t xml:space="preserve">fn_SoSachDangMuon</t>
  </si>
  <si>
    <t xml:space="preserve">Số cuốn độc giả đang giữ</t>
  </si>
  <si>
    <t xml:space="preserve">fn_NoPhat</t>
  </si>
  <si>
    <t xml:space="preserve">Tổng tiền phạt chưa thanh toán</t>
  </si>
  <si>
    <t xml:space="preserve">fn_HanTra</t>
  </si>
  <si>
    <t xml:space="preserve">Hạn trả theo số ngày mượn của thể loại / đầu sách</t>
  </si>
  <si>
    <t xml:space="preserve">fn_TinhTienPhat</t>
  </si>
  <si>
    <t xml:space="preserve">Tiền phạt theo biểu phí có hiệu lực</t>
  </si>
  <si>
    <t xml:space="preserve">fn_TienThuePhong</t>
  </si>
  <si>
    <t xml:space="preserve">Tiền thuê phòng theo loại phòng và số giờ</t>
  </si>
  <si>
    <t xml:space="preserve">Procedure</t>
  </si>
  <si>
    <t xml:space="preserve">sp_ChiNhanh_Them</t>
  </si>
  <si>
    <t xml:space="preserve">Thêm chi nhánh</t>
  </si>
  <si>
    <t xml:space="preserve">sp_ChiNhanh_Sua</t>
  </si>
  <si>
    <t xml:space="preserve">Sửa chi nhánh</t>
  </si>
  <si>
    <t xml:space="preserve">sp_ChiNhanh_Xoa</t>
  </si>
  <si>
    <t xml:space="preserve">Xóa chi nhánh</t>
  </si>
  <si>
    <t xml:space="preserve">sp_ChiNhanh_TimKiem</t>
  </si>
  <si>
    <t xml:space="preserve">Tìm kiếm chi nhánh</t>
  </si>
  <si>
    <t xml:space="preserve">sp_DocGia_Sua</t>
  </si>
  <si>
    <t xml:space="preserve">Sửa độc giả</t>
  </si>
  <si>
    <t xml:space="preserve">sp_DocGia_Xoa</t>
  </si>
  <si>
    <t xml:space="preserve">Xóa độc giả</t>
  </si>
  <si>
    <t xml:space="preserve">sp_DocGia_TimKiem</t>
  </si>
  <si>
    <t xml:space="preserve">Tìm kiếm độc giả</t>
  </si>
  <si>
    <t xml:space="preserve">sp_DocGia_GiaHanThe</t>
  </si>
  <si>
    <t xml:space="preserve">Gia hạn thẻ độc giả</t>
  </si>
  <si>
    <t xml:space="preserve">sp_ThuThu_Them</t>
  </si>
  <si>
    <t xml:space="preserve">Thêm thủ thư</t>
  </si>
  <si>
    <t xml:space="preserve">sp_ThuThu_Sua</t>
  </si>
  <si>
    <t xml:space="preserve">Sửa thủ thư</t>
  </si>
  <si>
    <t xml:space="preserve">sp_ThuThu_Xoa</t>
  </si>
  <si>
    <t xml:space="preserve">Xóa thủ thư</t>
  </si>
  <si>
    <t xml:space="preserve">sp_ThuThu_TimKiem</t>
  </si>
  <si>
    <t xml:space="preserve">Tìm kiếm thủ thư</t>
  </si>
  <si>
    <t xml:space="preserve">sp_PhongKho_Them</t>
  </si>
  <si>
    <t xml:space="preserve">Thêm phòng kho</t>
  </si>
  <si>
    <t xml:space="preserve">sp_PhongKho_Sua</t>
  </si>
  <si>
    <t xml:space="preserve">Sửa phòng kho</t>
  </si>
  <si>
    <t xml:space="preserve">sp_PhongKho_Xoa</t>
  </si>
  <si>
    <t xml:space="preserve">Xóa phòng kho</t>
  </si>
  <si>
    <t xml:space="preserve">sp_PhongKho_TimKiem</t>
  </si>
  <si>
    <t xml:space="preserve">Tìm kiếm phòng kho</t>
  </si>
  <si>
    <t xml:space="preserve">sp_GiaSach_Them</t>
  </si>
  <si>
    <t xml:space="preserve">Thêm giá sách</t>
  </si>
  <si>
    <t xml:space="preserve">sp_GiaSach_Sua</t>
  </si>
  <si>
    <t xml:space="preserve">Sửa giá sách</t>
  </si>
  <si>
    <t xml:space="preserve">sp_GiaSach_Xoa</t>
  </si>
  <si>
    <t xml:space="preserve">Xóa giá sách</t>
  </si>
  <si>
    <t xml:space="preserve">sp_GiaSach_TimKiem</t>
  </si>
  <si>
    <t xml:space="preserve">Tìm kiếm giá sách</t>
  </si>
  <si>
    <t xml:space="preserve">sp_DauSach_Them</t>
  </si>
  <si>
    <t xml:space="preserve">Thêm đầu sách</t>
  </si>
  <si>
    <t xml:space="preserve">sp_DauSach_Sua</t>
  </si>
  <si>
    <t xml:space="preserve">Sửa đầu sách</t>
  </si>
  <si>
    <t xml:space="preserve">sp_DauSach_Xoa</t>
  </si>
  <si>
    <t xml:space="preserve">Xóa đầu sách</t>
  </si>
  <si>
    <t xml:space="preserve">sp_DauSach_TimKiem</t>
  </si>
  <si>
    <t xml:space="preserve">Tìm kiếm đầu sách</t>
  </si>
  <si>
    <t xml:space="preserve">sp_CuonSach_ChuyenGia</t>
  </si>
  <si>
    <t xml:space="preserve">Chuyển giá cuốn sách</t>
  </si>
  <si>
    <t xml:space="preserve">sp_CuonSach_Xoa</t>
  </si>
  <si>
    <t xml:space="preserve">Xóa cuốn sách</t>
  </si>
  <si>
    <t xml:space="preserve">sp_CuonSach_TimKiem</t>
  </si>
  <si>
    <t xml:space="preserve">Tìm kiếm cuốn sách</t>
  </si>
  <si>
    <t xml:space="preserve">sp_PhongDoc_Them</t>
  </si>
  <si>
    <t xml:space="preserve">Thêm phòng đọc</t>
  </si>
  <si>
    <t xml:space="preserve">sp_PhongDoc_Sua</t>
  </si>
  <si>
    <t xml:space="preserve">Sửa phòng đọc</t>
  </si>
  <si>
    <t xml:space="preserve">sp_PhongDoc_Xoa</t>
  </si>
  <si>
    <t xml:space="preserve">Xóa phòng đọc</t>
  </si>
  <si>
    <t xml:space="preserve">sp_PhongDoc_TimKiem</t>
  </si>
  <si>
    <t xml:space="preserve">Tìm kiếm phòng đọc</t>
  </si>
  <si>
    <t xml:space="preserve">sp_ThuePhong_BaoGia</t>
  </si>
  <si>
    <t xml:space="preserve">Báo giá thuê phòng trước khi lập phiếu</t>
  </si>
  <si>
    <t xml:space="preserve">sp_CapNhatTuoiTho</t>
  </si>
  <si>
    <t xml:space="preserve">Cập nhật tuổi thọ sách theo thời gian (event gọi mỗi ngày)</t>
  </si>
  <si>
    <t xml:space="preserve">sp_BC_SachDangMuon</t>
  </si>
  <si>
    <t xml:space="preserve">Báo cáo 1: sách đang được mượn, sắp theo hạn trả</t>
  </si>
  <si>
    <t xml:space="preserve">sp_BC_SachDaMuon</t>
  </si>
  <si>
    <t xml:space="preserve">Báo cáo 1b: sách đã được mượn trong khoảng thời gian</t>
  </si>
  <si>
    <t xml:space="preserve">sp_BC_SachQuaHan</t>
  </si>
  <si>
    <t xml:space="preserve">Báo cáo 2: sách quá hạn, sắp theo số ngày quá hạn</t>
  </si>
  <si>
    <t xml:space="preserve">sp_BC_DauSachLuotMuon</t>
  </si>
  <si>
    <t xml:space="preserve">Báo cáo 3: đầu sách theo lượt mượn</t>
  </si>
  <si>
    <t xml:space="preserve">sp_BC_DocGiaTraMuon</t>
  </si>
  <si>
    <t xml:space="preserve">Báo cáo 4: độc giả trả muộn, theo tổng phạt</t>
  </si>
  <si>
    <t xml:space="preserve">sp_BC_SachSapHetHan</t>
  </si>
  <si>
    <t xml:space="preserve">Báo cáo 5: sách sắp hết hạn sử dụng (dưới 2 năm)</t>
  </si>
  <si>
    <t xml:space="preserve">sp_BC_PhongTaiThoiDiem</t>
  </si>
  <si>
    <t xml:space="preserve">Báo cáo 6: phòng đọc có / chưa có người tại thời điểm t</t>
  </si>
  <si>
    <t xml:space="preserve">Event</t>
  </si>
  <si>
    <t xml:space="preserve">ev_CapNhatTuoiTho</t>
  </si>
  <si>
    <t xml:space="preserve">Chạy mỗi ngày, gọi sp_CapNhatTuoiTho</t>
  </si>
  <si>
    <t xml:space="preserve">View</t>
  </si>
  <si>
    <t xml:space="preserve">v_ChiTietMuon</t>
  </si>
  <si>
    <t xml:space="preserve">Chi tiết mượn kèm sách và độc giả (dùng chung cho các báo cáo)</t>
  </si>
  <si>
    <t xml:space="preserve">v_SachDangMuon</t>
  </si>
  <si>
    <t xml:space="preserve">Sách đang được mượn</t>
  </si>
  <si>
    <t xml:space="preserve">v_LuotMuonDauSach</t>
  </si>
  <si>
    <t xml:space="preserve">Lượt mượn theo đầu sách</t>
  </si>
  <si>
    <t xml:space="preserve">v_PhatTraMuon</t>
  </si>
  <si>
    <t xml:space="preserve">Tiền phạt trả muộn theo độc giả</t>
  </si>
  <si>
    <t xml:space="preserve">v_SachSapHetHan</t>
  </si>
  <si>
    <t xml:space="preserve">Sách còn dưới 24 tháng tuổi thọ</t>
  </si>
  <si>
    <t xml:space="preserve">Chỉ mục</t>
  </si>
  <si>
    <t xml:space="preserve">IX_CTMUON_ChuaTra_HanTra</t>
  </si>
  <si>
    <t xml:space="preserve">Báo cáo 1, 2; fn_SoSachDangMuon</t>
  </si>
  <si>
    <t xml:space="preserve">IX_CUONSACH_TuoiTho</t>
  </si>
  <si>
    <t xml:space="preserve">Báo cáo 5</t>
  </si>
  <si>
    <t xml:space="preserve">IX_THUE_Phong_ThoiGian</t>
  </si>
  <si>
    <t xml:space="preserve">TRG7 kiểm tra trùng giờ; báo cáo 6</t>
  </si>
  <si>
    <t xml:space="preserve">IX_PHIEUPHAT_ChuaTT</t>
  </si>
  <si>
    <t xml:space="preserve">fn_NoPhat, TX3</t>
  </si>
  <si>
    <t xml:space="preserve">IX_NGUOI_Ten</t>
  </si>
  <si>
    <t xml:space="preserve">IX_DAUSACH_TenSach</t>
  </si>
  <si>
    <t xml:space="preserve">Vai trò</t>
  </si>
  <si>
    <t xml:space="preserve">r_ThuThu</t>
  </si>
  <si>
    <t xml:space="preserve">Thực thi procedure nghiệp vụ, tra cứu, báo cáo</t>
  </si>
  <si>
    <t xml:space="preserve">r_QuanLy</t>
  </si>
  <si>
    <t xml:space="preserve">Kế thừa r_ThuThu, thực thi mọi procedure, đọc mọi bảng</t>
  </si>
  <si>
    <t xml:space="preserve">E1xx mượn trả (TV3), E2xx phòng đọc (TV4), E3xx sách và kho (TV1), E4xx độc giả và thủ thư (TV2).</t>
  </si>
  <si>
    <t xml:space="preserve">Mã</t>
  </si>
  <si>
    <t xml:space="preserve">Ý nghĩa</t>
  </si>
  <si>
    <t xml:space="preserve">Nơi phát sinh</t>
  </si>
  <si>
    <t xml:space="preserve">E100</t>
  </si>
  <si>
    <t xml:space="preserve">Phiếu mượn/trả không có cuốn nào</t>
  </si>
  <si>
    <t xml:space="preserve">TX1, TX2</t>
  </si>
  <si>
    <t xml:space="preserve">E101</t>
  </si>
  <si>
    <t xml:space="preserve">Quá 10 cuốn mỗi lần mượn</t>
  </si>
  <si>
    <t xml:space="preserve">TRG1, TX1</t>
  </si>
  <si>
    <t xml:space="preserve">E102</t>
  </si>
  <si>
    <t xml:space="preserve">Độc giả đã giữ 50 cuốn</t>
  </si>
  <si>
    <t xml:space="preserve">TRG2</t>
  </si>
  <si>
    <t xml:space="preserve">E103</t>
  </si>
  <si>
    <t xml:space="preserve">Thẻ hết hạn</t>
  </si>
  <si>
    <t xml:space="preserve">TX1, TX7</t>
  </si>
  <si>
    <t xml:space="preserve">E104</t>
  </si>
  <si>
    <t xml:space="preserve">Cuốn không có trên giá, hoặc bị lặp trong danh sách mượn</t>
  </si>
  <si>
    <t xml:space="preserve">TRG2, TX1</t>
  </si>
  <si>
    <t xml:space="preserve">E105</t>
  </si>
  <si>
    <t xml:space="preserve">Ngày trả trước ngày mượn</t>
  </si>
  <si>
    <t xml:space="preserve">TRG3</t>
  </si>
  <si>
    <t xml:space="preserve">E106</t>
  </si>
  <si>
    <t xml:space="preserve">Sửa phiếu trả của dòng đã trả</t>
  </si>
  <si>
    <t xml:space="preserve">E107</t>
  </si>
  <si>
    <t xml:space="preserve">Phiếu trả và phiếu mượn khác độc giả</t>
  </si>
  <si>
    <t xml:space="preserve">E108</t>
  </si>
  <si>
    <t xml:space="preserve">Cuốn không do độc giả mượn hoặc đã trả</t>
  </si>
  <si>
    <t xml:space="preserve">TX2</t>
  </si>
  <si>
    <t xml:space="preserve">E109</t>
  </si>
  <si>
    <t xml:space="preserve">Không có khoản phạt chưa thanh toán</t>
  </si>
  <si>
    <t xml:space="preserve">TX3</t>
  </si>
  <si>
    <t xml:space="preserve">E110</t>
  </si>
  <si>
    <t xml:space="preserve">Còn nợ phạt, không được thuê phòng</t>
  </si>
  <si>
    <t xml:space="preserve">TX7</t>
  </si>
  <si>
    <t xml:space="preserve">E201</t>
  </si>
  <si>
    <t xml:space="preserve">Phòng trùng giờ</t>
  </si>
  <si>
    <t xml:space="preserve">TRG7</t>
  </si>
  <si>
    <t xml:space="preserve">E202</t>
  </si>
  <si>
    <t xml:space="preserve">Vượt sức chứa phòng</t>
  </si>
  <si>
    <t xml:space="preserve">E203</t>
  </si>
  <si>
    <t xml:space="preserve">Số giờ thuê sai quy định loại phòng</t>
  </si>
  <si>
    <t xml:space="preserve">E204</t>
  </si>
  <si>
    <t xml:space="preserve">Ngoài giờ mở cửa chi nhánh</t>
  </si>
  <si>
    <t xml:space="preserve">E205</t>
  </si>
  <si>
    <t xml:space="preserve">Không tìm thấy phòng</t>
  </si>
  <si>
    <t xml:space="preserve">E301</t>
  </si>
  <si>
    <t xml:space="preserve">Giá chỉ chứa sách cùng thể loại</t>
  </si>
  <si>
    <t xml:space="preserve">TRG6</t>
  </si>
  <si>
    <t xml:space="preserve">E302</t>
  </si>
  <si>
    <t xml:space="preserve">Đầu sách còn cuốn, không xóa được</t>
  </si>
  <si>
    <t xml:space="preserve">E303</t>
  </si>
  <si>
    <t xml:space="preserve">Cuốn đã có lịch sử mượn, phải thanh lý</t>
  </si>
  <si>
    <t xml:space="preserve">E304</t>
  </si>
  <si>
    <t xml:space="preserve">Giá sách đã đầy</t>
  </si>
  <si>
    <t xml:space="preserve">E305</t>
  </si>
  <si>
    <t xml:space="preserve">Sửa mã cuốn sách</t>
  </si>
  <si>
    <t xml:space="preserve">E306</t>
  </si>
  <si>
    <t xml:space="preserve">Số lượng nhập &lt; 1</t>
  </si>
  <si>
    <t xml:space="preserve">TX4</t>
  </si>
  <si>
    <t xml:space="preserve">E401</t>
  </si>
  <si>
    <t xml:space="preserve">Thủ thư trưởng không thuộc chi nhánh</t>
  </si>
  <si>
    <t xml:space="preserve">E402</t>
  </si>
  <si>
    <t xml:space="preserve">Không tìm thấy / độc giả bị khóa</t>
  </si>
  <si>
    <t xml:space="preserve">nhiều procedure</t>
  </si>
  <si>
    <t xml:space="preserve">E403</t>
  </si>
  <si>
    <t xml:space="preserve">Xóa thủ thư đang là trưởng chi nhánh</t>
  </si>
  <si>
    <t xml:space="preserve">E404</t>
  </si>
  <si>
    <t xml:space="preserve">Xóa độc giả còn giữ sách</t>
  </si>
  <si>
    <t xml:space="preserve">TRG8</t>
  </si>
  <si>
    <t xml:space="preserve">E405</t>
  </si>
  <si>
    <t xml:space="preserve">Xóa độc giả còn nợ phạt</t>
  </si>
  <si>
    <t xml:space="preserve">E406</t>
  </si>
  <si>
    <t xml:space="preserve">Sửa mã độc giả</t>
  </si>
  <si>
    <t xml:space="preserve">E407</t>
  </si>
  <si>
    <t xml:space="preserve">Bảng con ISA không khớp LoaiNguoi</t>
  </si>
  <si>
    <t xml:space="preserve">E408</t>
  </si>
  <si>
    <t xml:space="preserve">Độc giả phải có ít nhất 1 SĐT</t>
  </si>
  <si>
    <t xml:space="preserve">TX6</t>
  </si>
  <si>
    <t xml:space="preserve">Mục báo cáo và người trình bày</t>
  </si>
  <si>
    <t xml:space="preserve">Theo mục lục của tai_lieu/BaoCao_BTL_QLTV.docx. Phụ lục A là mã nguồn SQL ghép tự động.</t>
  </si>
  <si>
    <t xml:space="preserve">Mục</t>
  </si>
  <si>
    <t xml:space="preserve">Tiêu đề</t>
  </si>
  <si>
    <t xml:space="preserve">Lời mở đầu</t>
  </si>
  <si>
    <t xml:space="preserve">CHƯƠNG 1. PHÂN TÍCH YÊU CẦU</t>
  </si>
  <si>
    <t xml:space="preserve">1.1</t>
  </si>
  <si>
    <t xml:space="preserve">Mô tả nghiệp vụ</t>
  </si>
  <si>
    <t xml:space="preserve">1.2</t>
  </si>
  <si>
    <t xml:space="preserve">Thông tin cần lưu trữ</t>
  </si>
  <si>
    <t xml:space="preserve">1.3</t>
  </si>
  <si>
    <t xml:space="preserve">Các ứng dụng triển khai trên CSDL</t>
  </si>
  <si>
    <t xml:space="preserve">CHƯƠNG 2. LƯỢC ĐỒ THỰC THỂ – LIÊN KẾT</t>
  </si>
  <si>
    <t xml:space="preserve">2.1</t>
  </si>
  <si>
    <t xml:space="preserve">Tập thực thể</t>
  </si>
  <si>
    <t xml:space="preserve">2.2</t>
  </si>
  <si>
    <t xml:space="preserve">Liên kết</t>
  </si>
  <si>
    <t xml:space="preserve">2.3</t>
  </si>
  <si>
    <t xml:space="preserve">Đối chiếu yêu cầu "đầy đủ các loại" của đề</t>
  </si>
  <si>
    <t xml:space="preserve">2.4</t>
  </si>
  <si>
    <t xml:space="preserve">Sơ đồ E-R</t>
  </si>
  <si>
    <t xml:space="preserve">CHƯƠNG 3. LƯỢC ĐỒ QUAN HỆ VÀ CHUẨN HÓA</t>
  </si>
  <si>
    <t xml:space="preserve">3.1</t>
  </si>
  <si>
    <t xml:space="preserve">Quy tắc ánh xạ đã dùng</t>
  </si>
  <si>
    <t xml:space="preserve">3.2</t>
  </si>
  <si>
    <t xml:space="preserve">Tập lược đồ quan hệ (23 quan hệ)</t>
  </si>
  <si>
    <t xml:space="preserve">3.3</t>
  </si>
  <si>
    <t xml:space="preserve">Phụ thuộc hàm, khóa và kiểm tra BCNF từng lược đồ</t>
  </si>
  <si>
    <t xml:space="preserve">3.4</t>
  </si>
  <si>
    <t xml:space="preserve">Thuộc tính dẫn xuất được lưu</t>
  </si>
  <si>
    <t xml:space="preserve">3.5</t>
  </si>
  <si>
    <t xml:space="preserve">Ví dụ quá trình chuẩn hóa từ dạng chưa chuẩn</t>
  </si>
  <si>
    <t xml:space="preserve">3.6</t>
  </si>
  <si>
    <t xml:space="preserve">Ví dụ tìm phủ tối thiểu (thuật toán MinCover)</t>
  </si>
  <si>
    <t xml:space="preserve">3.7</t>
  </si>
  <si>
    <t xml:space="preserve">Sơ đồ lược đồ quan hệ</t>
  </si>
  <si>
    <t xml:space="preserve">3.8</t>
  </si>
  <si>
    <t xml:space="preserve">Từ điển dữ liệu</t>
  </si>
  <si>
    <t xml:space="preserve">CHƯƠNG 4. CÀI ĐẶT CƠ SỞ DỮ LIỆU VÀ ỨNG DỤNG</t>
  </si>
  <si>
    <t xml:space="preserve">4.1</t>
  </si>
  <si>
    <t xml:space="preserve">Môi trường và quy trình cài đặt</t>
  </si>
  <si>
    <t xml:space="preserve">4.2</t>
  </si>
  <si>
    <t xml:space="preserve">Một số lưu ý khi cài đặt trên MariaDB</t>
  </si>
  <si>
    <t xml:space="preserve">Minh chứng dữ liệu đã nạp</t>
  </si>
  <si>
    <t xml:space="preserve">4.5</t>
  </si>
  <si>
    <t xml:space="preserve">Danh sách trigger</t>
  </si>
  <si>
    <t xml:space="preserve">Danh sách function và stored procedure</t>
  </si>
  <si>
    <t xml:space="preserve">Đặc tả trigger và transaction nghiệp vụ</t>
  </si>
  <si>
    <t xml:space="preserve">Truy vấn hiển thị theo yêu cầu đề</t>
  </si>
  <si>
    <t xml:space="preserve">Tối ưu truy vấn bằng chỉ mục</t>
  </si>
  <si>
    <t xml:space="preserve">An toàn bảo mật</t>
  </si>
  <si>
    <t xml:space="preserve">Kiểm thử ràng buộc, trigger và transaction</t>
  </si>
  <si>
    <t xml:space="preserve">Giao diện ứng dụng</t>
  </si>
  <si>
    <t xml:space="preserve">CHƯƠNG 5. PHÂN TÍCH VÀ THIẾT KẾ CƠ SỞ DỮ LIỆU PHÂN TÁN</t>
  </si>
  <si>
    <t xml:space="preserve">5.1</t>
  </si>
  <si>
    <t xml:space="preserve">Bối cảnh và kiến trúc</t>
  </si>
  <si>
    <t xml:space="preserve">5.2</t>
  </si>
  <si>
    <t xml:space="preserve">Số liệu giả định dùng cho thiết kế</t>
  </si>
  <si>
    <t xml:space="preserve">5.3</t>
  </si>
  <si>
    <t xml:space="preserve">Phân mảnh ngang nguyên thủy DOC_GIA</t>
  </si>
  <si>
    <t xml:space="preserve">Phân mảnh ngang dẫn xuất</t>
  </si>
  <si>
    <t xml:space="preserve">Phân mảnh dọc và phân mảnh lai NGUOI (phần độc giả)</t>
  </si>
  <si>
    <t xml:space="preserve">5.6</t>
  </si>
  <si>
    <t xml:space="preserve">Kiểm tra tính đúng đắn của phân mảnh</t>
  </si>
  <si>
    <t xml:space="preserve">5.7</t>
  </si>
  <si>
    <t xml:space="preserve">Cấp phát và nhân bản</t>
  </si>
  <si>
    <t xml:space="preserve">5.8</t>
  </si>
  <si>
    <t xml:space="preserve">Sơ đồ tổng thể hệ thống</t>
  </si>
  <si>
    <t xml:space="preserve">Minh họa cài đặt trên MariaDB</t>
  </si>
  <si>
    <t xml:space="preserve">Kết luận</t>
  </si>
  <si>
    <t xml:space="preserve">PHỤ LỤC A. MÃ NGUỒN SQL</t>
  </si>
  <si>
    <t xml:space="preserve">A.1</t>
  </si>
  <si>
    <t xml:space="preserve">Tạo bảng và ràng buộc (01_schema.sql)</t>
  </si>
  <si>
    <t xml:space="preserve">A.2</t>
  </si>
  <si>
    <t xml:space="preserve">Function và procedure thêm/xóa/sửa/tìm kiếm (02_function_procedure.sql)</t>
  </si>
  <si>
    <t xml:space="preserve">A.3</t>
  </si>
  <si>
    <t xml:space="preserve">Trigger (03_trigger.sql)</t>
  </si>
  <si>
    <t xml:space="preserve">A.4</t>
  </si>
  <si>
    <t xml:space="preserve">Transaction (04_transaction.sql)</t>
  </si>
  <si>
    <t xml:space="preserve">A.5</t>
  </si>
  <si>
    <t xml:space="preserve">Truy vấn báo cáo (06_view_baocao.sql)</t>
  </si>
  <si>
    <t xml:space="preserve">A.6</t>
  </si>
  <si>
    <t xml:space="preserve">Chỉ mục và phân quyền (07_index_baomat.sql)</t>
  </si>
  <si>
    <t xml:space="preserve">52 ca kiểm thử trong 08_test.sql</t>
  </si>
  <si>
    <t xml:space="preserve">Cột TV là chủ của đối tượng được kiểm thử, người giải thích ca đó khi bị hỏi. TV5 viết khung và chạy cả bộ (kết quả 52/52 đạt).</t>
  </si>
  <si>
    <t xml:space="preserve">Mã ca</t>
  </si>
  <si>
    <t xml:space="preserve">TX1-a</t>
  </si>
  <si>
    <t xml:space="preserve">Mượn 11 cuốn trong 1 phiếu bị chặn</t>
  </si>
  <si>
    <t xml:space="preserve">TX1-b</t>
  </si>
  <si>
    <t xml:space="preserve">Sau khi bị chặn không có phiếu mượn nào được tạo (ROLLBACK)</t>
  </si>
  <si>
    <t xml:space="preserve">TX1-c</t>
  </si>
  <si>
    <t xml:space="preserve">Mượn đúng 10 cuốn hợp lệ</t>
  </si>
  <si>
    <t xml:space="preserve">TRG1</t>
  </si>
  <si>
    <t xml:space="preserve">Chèn trực tiếp cuốn thứ 11 vào phiếu đã có 10 cuốn</t>
  </si>
  <si>
    <t xml:space="preserve">TRG4-a</t>
  </si>
  <si>
    <t xml:space="preserve">Số lượng trên giá giảm đúng bằng số cuốn của giá đó vừa được mượn</t>
  </si>
  <si>
    <t xml:space="preserve">TRG5</t>
  </si>
  <si>
    <t xml:space="preserve">Tuổi thọ cuốn sách giảm 1 tháng sau khi mượn</t>
  </si>
  <si>
    <t xml:space="preserve">TX1-d</t>
  </si>
  <si>
    <t xml:space="preserve">Hạn trả = ngày mượn + số ngày mượn của thể loại/đầu sách</t>
  </si>
  <si>
    <t xml:space="preserve">TRG2-a</t>
  </si>
  <si>
    <t xml:space="preserve">Mượn cuốn đang được người khác mượn</t>
  </si>
  <si>
    <t xml:space="preserve">TRG2-b</t>
  </si>
  <si>
    <t xml:space="preserve">Độc giả DG0001 đang giữ 50 cuốn mượn thêm 1 cuốn</t>
  </si>
  <si>
    <t xml:space="preserve">TX1-e</t>
  </si>
  <si>
    <t xml:space="preserve">Danh sách mượn có mã cuốn bị lặp</t>
  </si>
  <si>
    <t xml:space="preserve">TX2-a</t>
  </si>
  <si>
    <t xml:space="preserve">Trả cuốn mà độc giả không mượn</t>
  </si>
  <si>
    <t xml:space="preserve">TX2-b</t>
  </si>
  <si>
    <t xml:space="preserve">Trả muộn 5 ngày 2 cuốn (1 phiếu trả, nhiều cuốn)</t>
  </si>
  <si>
    <t xml:space="preserve">TRG3-a</t>
  </si>
  <si>
    <t xml:space="preserve">Phiếu phạt tự lập cho cuốn trả muộn, tiền = cơ bản + 5 × phạt/ngày</t>
  </si>
  <si>
    <t xml:space="preserve">TRG4-b</t>
  </si>
  <si>
    <t xml:space="preserve">Số lượng trên giá tăng đúng bằng số cuốn của giá đó vừa được trả</t>
  </si>
  <si>
    <t xml:space="preserve">TRG3-b</t>
  </si>
  <si>
    <t xml:space="preserve">Sửa phiếu trả của dòng mượn đã trả</t>
  </si>
  <si>
    <t xml:space="preserve">TRG3-c</t>
  </si>
  <si>
    <t xml:space="preserve">TX7-a</t>
  </si>
  <si>
    <t xml:space="preserve">Độc giả còn nợ phạt thuê phòng bị chặn</t>
  </si>
  <si>
    <t xml:space="preserve">TRG8-b</t>
  </si>
  <si>
    <t xml:space="preserve">Xóa độc giả không giữ sách nhưng còn nợ tiền phạt</t>
  </si>
  <si>
    <t xml:space="preserve">TX3-a</t>
  </si>
  <si>
    <t xml:space="preserve">Thanh toán phạt</t>
  </si>
  <si>
    <t xml:space="preserve">TX3-b</t>
  </si>
  <si>
    <t xml:space="preserve">Thanh toán khi không còn khoản nợ</t>
  </si>
  <si>
    <t xml:space="preserve">TX7-b</t>
  </si>
  <si>
    <t xml:space="preserve">Thuê phòng nhóm 2 giờ hợp lệ</t>
  </si>
  <si>
    <t xml:space="preserve">TX7-c</t>
  </si>
  <si>
    <t xml:space="preserve">Tiền thuê = 2 giờ × 50.000đ</t>
  </si>
  <si>
    <t xml:space="preserve">BG-1</t>
  </si>
  <si>
    <t xml:space="preserve">Báo giá phòng hội thảo 3 giờ = 3 × 300.000đ</t>
  </si>
  <si>
    <t xml:space="preserve">BG-2</t>
  </si>
  <si>
    <t xml:space="preserve">Mọi lượt thuê đã lưu có tiền khớp công thức báo giá</t>
  </si>
  <si>
    <t xml:space="preserve">Thuê trùng khung giờ 10:00–12:00</t>
  </si>
  <si>
    <t xml:space="preserve">TX7-d</t>
  </si>
  <si>
    <t xml:space="preserve">Số người vượt sức chứa</t>
  </si>
  <si>
    <t xml:space="preserve">TX7-e</t>
  </si>
  <si>
    <t xml:space="preserve">Thuê phòng hội thảo 1 giờ (tối thiểu 2 giờ)</t>
  </si>
  <si>
    <t xml:space="preserve">CK-THUE</t>
  </si>
  <si>
    <t xml:space="preserve">Thuê lẻ phút (CHECK giờ tròn)</t>
  </si>
  <si>
    <t xml:space="preserve">TX6-a</t>
  </si>
  <si>
    <t xml:space="preserve">Đăng ký độc giả mới với 2 số điện thoại</t>
  </si>
  <si>
    <t xml:space="preserve">TX6-b</t>
  </si>
  <si>
    <t xml:space="preserve">Độc giả mới có thẻ hết hạn sau 1 năm</t>
  </si>
  <si>
    <t xml:space="preserve">TX6-c</t>
  </si>
  <si>
    <t xml:space="preserve">Đăng ký với số điện thoại sai định dạng</t>
  </si>
  <si>
    <t xml:space="preserve">TX6-d</t>
  </si>
  <si>
    <t xml:space="preserve">Sau lỗi SĐT không còn bản ghi NGUOI nào được thêm (ROLLBACK)</t>
  </si>
  <si>
    <t xml:space="preserve">TX6-e</t>
  </si>
  <si>
    <t xml:space="preserve">Đăng ký không có số điện thoại</t>
  </si>
  <si>
    <t xml:space="preserve">TRG8-a</t>
  </si>
  <si>
    <t xml:space="preserve">Xóa độc giả DG0001 đang giữ sách</t>
  </si>
  <si>
    <t xml:space="preserve">TRG8-c</t>
  </si>
  <si>
    <t xml:space="preserve">TRG8-d</t>
  </si>
  <si>
    <t xml:space="preserve">Xóa độc giả mới đăng ký (không giữ sách, không nợ)</t>
  </si>
  <si>
    <t xml:space="preserve">TX4-a</t>
  </si>
  <si>
    <t xml:space="preserve">Nhập lô 3 cuốn đầu sách mới vào giá đúng thể loại</t>
  </si>
  <si>
    <t xml:space="preserve">TX4-b</t>
  </si>
  <si>
    <t xml:space="preserve">Mã cuốn sinh đúng định dạng đầu sách + STT</t>
  </si>
  <si>
    <t xml:space="preserve">TX4-c</t>
  </si>
  <si>
    <t xml:space="preserve">Nhập sách tham khảo vào giá truyện</t>
  </si>
  <si>
    <t xml:space="preserve">TX4-d</t>
  </si>
  <si>
    <t xml:space="preserve">Đầu sách TK0901 không được tạo vì giao dịch bị ROLLBACK</t>
  </si>
  <si>
    <t xml:space="preserve">TRG6-a</t>
  </si>
  <si>
    <t xml:space="preserve">Chuyển cuốn truyện sang giá tham khảo</t>
  </si>
  <si>
    <t xml:space="preserve">TRG6-b</t>
  </si>
  <si>
    <t xml:space="preserve">Nhập thêm vào giá đã đầy</t>
  </si>
  <si>
    <t xml:space="preserve">CK-DAUSACH</t>
  </si>
  <si>
    <t xml:space="preserve">Đầu sách mã TK nhưng thể loại TR (CHECK)</t>
  </si>
  <si>
    <t xml:space="preserve">TRG6-c</t>
  </si>
  <si>
    <t xml:space="preserve">Cuốn trên giá hết tuổi thọ tự chuyển ChoThanhLy</t>
  </si>
  <si>
    <t xml:space="preserve">TX5-a</t>
  </si>
  <si>
    <t xml:space="preserve">Thanh lý sách hết niên hạn</t>
  </si>
  <si>
    <t xml:space="preserve">TX5-b</t>
  </si>
  <si>
    <t xml:space="preserve">Cuốn đã chuyển sang SACH_THANH_LY và rời khỏi CUON_SACH</t>
  </si>
  <si>
    <t xml:space="preserve">TT-1</t>
  </si>
  <si>
    <t xml:space="preserve">Hai tháng sau ngày nhập, tuổi thọ còn 180 − 2 = 178 tháng</t>
  </si>
  <si>
    <t xml:space="preserve">TT-2</t>
  </si>
  <si>
    <t xml:space="preserve">Chạy lại với ngày sớm hơn không làm tuổi thọ tăng lên</t>
  </si>
  <si>
    <t xml:space="preserve">TV-1</t>
  </si>
  <si>
    <t xml:space="preserve">SoLuongHienCo của mọi giá khớp số cuốn không đang mượn</t>
  </si>
  <si>
    <t xml:space="preserve">TV-2</t>
  </si>
  <si>
    <t xml:space="preserve">Không độc giả nào giữ quá 50 cuốn</t>
  </si>
  <si>
    <t xml:space="preserve">TV-3</t>
  </si>
  <si>
    <t xml:space="preserve">Không phiếu mượn nào quá 10 cuốn</t>
  </si>
  <si>
    <t xml:space="preserve">TV-4</t>
  </si>
  <si>
    <t xml:space="preserve">Không có 2 lượt thuê đã duyệt trùng giờ cùng phòng</t>
  </si>
  <si>
    <t xml:space="preserve">23 thao tác giao diện được kiểm thử tự động</t>
  </si>
  <si>
    <t xml:space="preserve">Theo chup_man_hinh.py và ket_qua_giao_dien.json (23/23 đạt). Thao tác kết quả 'Bị chặn' là ca cố tình vi phạm luật để CSDL báo lỗi.</t>
  </si>
  <si>
    <t xml:space="preserve">STT</t>
  </si>
  <si>
    <t xml:space="preserve">Trang</t>
  </si>
  <si>
    <t xml:space="preserve">Thao tác</t>
  </si>
  <si>
    <t xml:space="preserve">Mong đợi</t>
  </si>
  <si>
    <t xml:space="preserve">Thông báo nhận được</t>
  </si>
  <si>
    <t xml:space="preserve">Mượn sách</t>
  </si>
  <si>
    <t xml:space="preserve">Lập phiếu mượn</t>
  </si>
  <si>
    <t xml:space="preserve">Thành công</t>
  </si>
  <si>
    <t xml:space="preserve">Đã lập phiếu mượn số: 832</t>
  </si>
  <si>
    <t xml:space="preserve">Bị chặn</t>
  </si>
  <si>
    <t xml:space="preserve">E101: Mỗi lần mượn tối đa 10 cuốn sách</t>
  </si>
  <si>
    <t xml:space="preserve">Trả sách &amp; phạt</t>
  </si>
  <si>
    <t xml:space="preserve">Lập phiếu trả</t>
  </si>
  <si>
    <t xml:space="preserve">Đã trả: phiếu 1569, tiền phạt 3.470.000 đ</t>
  </si>
  <si>
    <t xml:space="preserve">Thanh toán toàn bộ phạt</t>
  </si>
  <si>
    <t xml:space="preserve">Đã thu: 3.470.000 đ</t>
  </si>
  <si>
    <t xml:space="preserve">Thêm phòng</t>
  </si>
  <si>
    <t xml:space="preserve">Đã thêm phòng CN01-N6</t>
  </si>
  <si>
    <t xml:space="preserve">Sửa tên / sức chứa</t>
  </si>
  <si>
    <t xml:space="preserve">Đã sửa phòng CN01-N6</t>
  </si>
  <si>
    <t xml:space="preserve">Xóa phòng</t>
  </si>
  <si>
    <t xml:space="preserve">Đã xóa phòng CN01-N6</t>
  </si>
  <si>
    <t xml:space="preserve">Độc giả</t>
  </si>
  <si>
    <t xml:space="preserve">Đăng ký</t>
  </si>
  <si>
    <t xml:space="preserve">Đã đăng ký: mã DG0201, thẻ THE0201</t>
  </si>
  <si>
    <t xml:space="preserve">Lưu sửa</t>
  </si>
  <si>
    <t xml:space="preserve">Đã sửa DG0201</t>
  </si>
  <si>
    <t xml:space="preserve">Gia hạn thẻ 1 năm</t>
  </si>
  <si>
    <t xml:space="preserve">Đã gia hạn thẻ DG0201</t>
  </si>
  <si>
    <t xml:space="preserve">Đã xóa DG0201</t>
  </si>
  <si>
    <t xml:space="preserve">E404: Độc giả còn giữ sách, không xóa được</t>
  </si>
  <si>
    <t xml:space="preserve">Sách &amp; kho</t>
  </si>
  <si>
    <t xml:space="preserve">Đã thêm CN01-K3</t>
  </si>
  <si>
    <t xml:space="preserve">Thêm giá</t>
  </si>
  <si>
    <t xml:space="preserve">Đã thêm giá CN01-K1-TR9</t>
  </si>
  <si>
    <t xml:space="preserve">Sửa sức chứa</t>
  </si>
  <si>
    <t xml:space="preserve">Đã sửa giá CN01-K1-TR9</t>
  </si>
  <si>
    <t xml:space="preserve">Xóa giá</t>
  </si>
  <si>
    <t xml:space="preserve">Đã xóa giá CN01-K1-TR9</t>
  </si>
  <si>
    <t xml:space="preserve">Đã xóa CN01-K3</t>
  </si>
  <si>
    <t xml:space="preserve">Đã xóa GT0026-001</t>
  </si>
  <si>
    <t xml:space="preserve">E303: Cuốn sách đã có lịch sử mượn, hãy dùng thanh lý thay vì xóa</t>
  </si>
  <si>
    <t xml:space="preserve">Thủ thư &amp; chi nhánh</t>
  </si>
  <si>
    <t xml:space="preserve">Đã thêm thủ thư mã: TT016</t>
  </si>
  <si>
    <t xml:space="preserve">Lưu sửa thủ thư</t>
  </si>
  <si>
    <t xml:space="preserve">Đã sửa TT016</t>
  </si>
  <si>
    <t xml:space="preserve">Đã xóa TT016</t>
  </si>
  <si>
    <t xml:space="preserve">E403: Thủ thư đang là trưởng chi nhánh, đổi trưởng trước khi xóa</t>
  </si>
  <si>
    <t xml:space="preserve">Thứ tự trình bày và demo</t>
  </si>
  <si>
    <t xml:space="preserve">Thời lượng (ô vàng) là giả định 6 phút mỗi người, sửa theo thời gian giảng viên cho. Phần demo nên chiếm quá nửa thời lượng mỗi người. Dựng lại CSDL sạch trước khi demo.</t>
  </si>
  <si>
    <t xml:space="preserve">Lượt</t>
  </si>
  <si>
    <t xml:space="preserve">Nội dung trình bày</t>
  </si>
  <si>
    <t xml:space="preserve">Demo</t>
  </si>
  <si>
    <t xml:space="preserve">Phút</t>
  </si>
  <si>
    <t xml:space="preserve">Bài toán, yêu cầu, ERD tổng, mảng sách và kho</t>
  </si>
  <si>
    <t xml:space="preserve">Sách &amp; kho, tuổi thọ</t>
  </si>
  <si>
    <t xml:space="preserve">Ánh xạ sang quan hệ, chuẩn hóa BCNF, mảng con người, dữ liệu 3 tháng</t>
  </si>
  <si>
    <t xml:space="preserve">Đăng ký độc giả, chặn xóa thủ thư là trưởng chi nhánh (E403)</t>
  </si>
  <si>
    <t xml:space="preserve">Mượn, trả, phạt; trigger và transaction</t>
  </si>
  <si>
    <t xml:space="preserve">Mượn quá 10 cuốn (E101), mượn thành công, trả có phạt, thanh toán</t>
  </si>
  <si>
    <t xml:space="preserve">Phòng đọc; thiết kế CSDL phân tán</t>
  </si>
  <si>
    <t xml:space="preserve">Báo giá và thuê phòng, trùng giờ (E201); chạy 36 ca phân tán</t>
  </si>
  <si>
    <t xml:space="preserve">Truy vấn, chỉ mục, bảo mật, kiểm thử</t>
  </si>
  <si>
    <t xml:space="preserve">Báo cáo, chạy 52 ca kiểm thử, quyền của tt_cn01</t>
  </si>
  <si>
    <t xml:space="preserve">Kết luận, hạn chế, hướng phát triển</t>
  </si>
  <si>
    <t xml:space="preserve">—</t>
  </si>
  <si>
    <t xml:space="preserve">Tổng thời lượng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</si>
</sst>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2F6B4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2F6B4F"/>
      <name val="Arial"/>
      <family val="0"/>
      <charset val="1"/>
    </font>
    <font>
      <i val="true"/>
      <sz val="10"/>
      <color rgb="FF5A6A6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5A6A6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F6B4F"/>
        <bgColor rgb="FF5A6A60"/>
      </patternFill>
    </fill>
    <fill>
      <patternFill patternType="solid">
        <fgColor rgb="FFE2F1E6"/>
        <bgColor rgb="FFE3EFE6"/>
      </patternFill>
    </fill>
    <fill>
      <patternFill patternType="solid">
        <fgColor rgb="FFFFF2CC"/>
        <bgColor rgb="FFF6EFD2"/>
      </patternFill>
    </fill>
    <fill>
      <patternFill patternType="solid">
        <fgColor rgb="FFE1ECF7"/>
        <bgColor rgb="FFE3EFE6"/>
      </patternFill>
    </fill>
    <fill>
      <patternFill patternType="solid">
        <fgColor rgb="FFF8EADC"/>
        <bgColor rgb="FFF6EFD2"/>
      </patternFill>
    </fill>
    <fill>
      <patternFill patternType="solid">
        <fgColor rgb="FFF6EFD2"/>
        <bgColor rgb="FFF8EADC"/>
      </patternFill>
    </fill>
    <fill>
      <patternFill patternType="solid">
        <fgColor rgb="FFECE8F6"/>
        <bgColor rgb="FFE1ECF7"/>
      </patternFill>
    </fill>
    <fill>
      <patternFill patternType="solid">
        <fgColor rgb="FFE3EFE6"/>
        <bgColor rgb="FFE2F1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CC"/>
      </left>
      <right style="thin">
        <color rgb="FFC9D3CC"/>
      </right>
      <top style="thin">
        <color rgb="FFC9D3CC"/>
      </top>
      <bottom style="thin">
        <color rgb="FFC9D3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F6B4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E1ECF7"/>
        </patternFill>
      </fill>
    </dxf>
    <dxf>
      <fill>
        <patternFill patternType="solid">
          <fgColor rgb="FFE2F1E6"/>
        </patternFill>
      </fill>
    </dxf>
    <dxf>
      <fill>
        <patternFill patternType="solid">
          <fgColor rgb="FFECE8F6"/>
        </patternFill>
      </fill>
    </dxf>
    <dxf>
      <fill>
        <patternFill patternType="solid">
          <fgColor rgb="FFF6EFD2"/>
        </patternFill>
      </fill>
    </dxf>
    <dxf>
      <fill>
        <patternFill patternType="solid">
          <fgColor rgb="FFF8EAD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3EF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B4F"/>
      <rgbColor rgb="FFC9D3CC"/>
      <rgbColor rgb="FF808080"/>
      <rgbColor rgb="FF9999FF"/>
      <rgbColor rgb="FF993366"/>
      <rgbColor rgb="FFFFF2CC"/>
      <rgbColor rgb="FFE2F1E6"/>
      <rgbColor rgb="FF660066"/>
      <rgbColor rgb="FFFF8080"/>
      <rgbColor rgb="FF0066CC"/>
      <rgbColor rgb="FFECE8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1ECF7"/>
      <rgbColor rgb="FFE3EFE6"/>
      <rgbColor rgb="FFF6EFD2"/>
      <rgbColor rgb="FF99CCFF"/>
      <rgbColor rgb="FFFF99CC"/>
      <rgbColor rgb="FFCC99FF"/>
      <rgbColor rgb="FFF8EADC"/>
      <rgbColor rgb="FF3366FF"/>
      <rgbColor rgb="FF33CCCC"/>
      <rgbColor rgb="FF99CC00"/>
      <rgbColor rgb="FFFFCC00"/>
      <rgbColor rgb="FFFF9900"/>
      <rgbColor rgb="FFFF6600"/>
      <rgbColor rgb="FF5A6A60"/>
      <rgbColor rgb="FF9AB8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2F6B4F"/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2F6B4F"/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xSplit="0" ySplit="5" topLeftCell="A6" activePane="bottomLeft" state="frozen"/>
      <selection pane="bottomLeft" activeCell="A6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5" min="4" style="0" width="40"/>
    <col collapsed="false" customWidth="true" hidden="false" outlineLevel="0" max="6" min="6" style="0" width="13"/>
    <col collapsed="false" customWidth="true" hidden="false" outlineLevel="0" max="7" min="7" style="0" width="24"/>
  </cols>
  <sheetData>
    <row r="1" customFormat="false" ht="15" hidden="false" customHeight="false" outlineLevel="0" collapsed="false">
      <c r="A1" s="4" t="s">
        <v>18</v>
      </c>
    </row>
    <row r="2" customFormat="false" ht="30" hidden="false" customHeight="true" outlineLevel="0" collapsed="false">
      <c r="A2" s="5" t="s">
        <v>19</v>
      </c>
      <c r="B2" s="5"/>
      <c r="C2" s="5"/>
      <c r="D2" s="5"/>
      <c r="E2" s="5"/>
      <c r="F2" s="5"/>
      <c r="G2" s="5"/>
    </row>
    <row r="4" customFormat="false" ht="15" hidden="false" customHeight="false" outlineLevel="0" collapsed="false">
      <c r="A4" s="6" t="s">
        <v>20</v>
      </c>
    </row>
    <row r="5" customFormat="false" ht="15" hidden="false" customHeight="false" outlineLevel="0" collapsed="false">
      <c r="A5" s="7" t="s">
        <v>21</v>
      </c>
      <c r="B5" s="7" t="s">
        <v>22</v>
      </c>
      <c r="C5" s="7" t="s">
        <v>23</v>
      </c>
      <c r="D5" s="7" t="s">
        <v>24</v>
      </c>
      <c r="E5" s="7" t="s">
        <v>25</v>
      </c>
      <c r="F5" s="7" t="s">
        <v>26</v>
      </c>
      <c r="G5" s="7" t="s">
        <v>27</v>
      </c>
    </row>
    <row r="6" customFormat="false" ht="15" hidden="false" customHeight="false" outlineLevel="0" collapsed="false">
      <c r="A6" s="8" t="s">
        <v>28</v>
      </c>
      <c r="B6" s="9"/>
      <c r="C6" s="9"/>
      <c r="D6" s="10" t="s">
        <v>29</v>
      </c>
      <c r="E6" s="10" t="s">
        <v>30</v>
      </c>
      <c r="F6" s="10" t="s">
        <v>31</v>
      </c>
      <c r="G6" s="9"/>
    </row>
    <row r="7" customFormat="false" ht="15" hidden="false" customHeight="false" outlineLevel="0" collapsed="false">
      <c r="A7" s="11" t="s">
        <v>32</v>
      </c>
      <c r="B7" s="9"/>
      <c r="C7" s="9"/>
      <c r="D7" s="10" t="s">
        <v>33</v>
      </c>
      <c r="E7" s="10" t="s">
        <v>34</v>
      </c>
      <c r="F7" s="10" t="s">
        <v>35</v>
      </c>
      <c r="G7" s="9"/>
    </row>
    <row r="8" customFormat="false" ht="15" hidden="false" customHeight="false" outlineLevel="0" collapsed="false">
      <c r="A8" s="12" t="s">
        <v>31</v>
      </c>
      <c r="B8" s="9"/>
      <c r="C8" s="9"/>
      <c r="D8" s="10" t="s">
        <v>36</v>
      </c>
      <c r="E8" s="10" t="s">
        <v>37</v>
      </c>
      <c r="F8" s="10" t="s">
        <v>28</v>
      </c>
      <c r="G8" s="9"/>
    </row>
    <row r="9" customFormat="false" ht="15" hidden="false" customHeight="false" outlineLevel="0" collapsed="false">
      <c r="A9" s="13" t="s">
        <v>35</v>
      </c>
      <c r="B9" s="9"/>
      <c r="C9" s="9"/>
      <c r="D9" s="10" t="s">
        <v>38</v>
      </c>
      <c r="E9" s="10" t="s">
        <v>39</v>
      </c>
      <c r="F9" s="10" t="s">
        <v>40</v>
      </c>
      <c r="G9" s="9"/>
    </row>
    <row r="10" customFormat="false" ht="15" hidden="false" customHeight="false" outlineLevel="0" collapsed="false">
      <c r="A10" s="14" t="s">
        <v>40</v>
      </c>
      <c r="B10" s="9"/>
      <c r="C10" s="9"/>
      <c r="D10" s="10" t="s">
        <v>41</v>
      </c>
      <c r="E10" s="10" t="s">
        <v>42</v>
      </c>
      <c r="F10" s="10" t="s">
        <v>32</v>
      </c>
      <c r="G10" s="9"/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2F6B4F"/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xSplit="0" ySplit="4" topLeftCell="A5" activePane="bottomLeft" state="frozen"/>
      <selection pane="bottomLeft" activeCell="A5" sqref="A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3" min="12" style="0" width="12"/>
    <col collapsed="false" customWidth="true" hidden="false" outlineLevel="0" max="14" min="14" style="0" width="13"/>
  </cols>
  <sheetData>
    <row r="1" customFormat="false" ht="15" hidden="false" customHeight="false" outlineLevel="0" collapsed="false">
      <c r="A1" s="4" t="s">
        <v>43</v>
      </c>
    </row>
    <row r="2" customFormat="false" ht="30" hidden="false" customHeight="true" outlineLevel="0" collapsed="false">
      <c r="A2" s="5" t="s">
        <v>44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customFormat="false" ht="15" hidden="false" customHeight="false" outlineLevel="0" collapsed="false">
      <c r="A4" s="7" t="s">
        <v>45</v>
      </c>
      <c r="B4" s="7" t="s">
        <v>22</v>
      </c>
      <c r="C4" s="7" t="s">
        <v>46</v>
      </c>
      <c r="D4" s="7" t="s">
        <v>47</v>
      </c>
      <c r="E4" s="7" t="s">
        <v>48</v>
      </c>
      <c r="F4" s="7" t="s">
        <v>49</v>
      </c>
      <c r="G4" s="7" t="s">
        <v>50</v>
      </c>
      <c r="H4" s="7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N4" s="7" t="s">
        <v>57</v>
      </c>
    </row>
    <row r="5" customFormat="false" ht="15" hidden="false" customHeight="false" outlineLevel="0" collapsed="false">
      <c r="A5" s="8" t="s">
        <v>28</v>
      </c>
      <c r="B5" s="10" t="str">
        <f aca="false">IFERROR(INDEX('Thành viên'!$B$6:$B$10,MATCH($A5,'Thành viên'!$A$6:$A$10,0))&amp;"","")</f>
        <v/>
      </c>
      <c r="C5" s="15" t="n">
        <f aca="false">COUNTIF('Phân việc'!$B$5:$B$43,$A5)</f>
        <v>9</v>
      </c>
      <c r="D5" s="15" t="n">
        <f aca="false">COUNTIFS('Phân việc'!$B$5:$B$43,$A5,'Phân việc'!$I$5:$I$43,"Đã nắm")</f>
        <v>0</v>
      </c>
      <c r="E5" s="16" t="n">
        <f aca="false">IF(C5=0,0,D5/C5)</f>
        <v>0</v>
      </c>
      <c r="F5" s="15" t="n">
        <f aca="false">COUNTIFS('Đối tượng CSDL'!$A$5:$A$114,"Bảng",'Đối tượng CSDL'!$D$5:$D$114,$A5)</f>
        <v>8</v>
      </c>
      <c r="G5" s="15" t="n">
        <f aca="false">COUNTIFS('Đối tượng CSDL'!$A$5:$A$114,"Trigger",'Đối tượng CSDL'!$D$5:$D$114,$A5)</f>
        <v>6</v>
      </c>
      <c r="H5" s="15" t="n">
        <f aca="false">COUNTIFS('Đối tượng CSDL'!$A$5:$A$114,"Transaction",'Đối tượng CSDL'!$D$5:$D$114,$A5)</f>
        <v>2</v>
      </c>
      <c r="I5" s="15" t="n">
        <f aca="false">COUNTIFS('Đối tượng CSDL'!$A$5:$A$114,"Function",'Đối tượng CSDL'!$D$5:$D$114,$A5)</f>
        <v>0</v>
      </c>
      <c r="J5" s="15" t="n">
        <f aca="false">COUNTIFS('Đối tượng CSDL'!$A$5:$A$114,"Procedure",'Đối tượng CSDL'!$D$5:$D$114,$A5)</f>
        <v>16</v>
      </c>
      <c r="K5" s="15" t="n">
        <f aca="false">COUNTIF('Mã lỗi'!$D$5:$D$34,$A5)</f>
        <v>6</v>
      </c>
      <c r="L5" s="15" t="n">
        <f aca="false">COUNTIF('Mục báo cáo'!$C$5:$C$56,$A5)</f>
        <v>16</v>
      </c>
      <c r="M5" s="15" t="n">
        <f aca="false">COUNTIF('Kiểm thử SQL'!$C$5:$C$56,$A5)</f>
        <v>15</v>
      </c>
      <c r="N5" s="15" t="n">
        <f aca="false">COUNTIF('Giao diện'!$F$5:$F$27,$A5)</f>
        <v>7</v>
      </c>
    </row>
    <row r="6" customFormat="false" ht="15" hidden="false" customHeight="false" outlineLevel="0" collapsed="false">
      <c r="A6" s="11" t="s">
        <v>32</v>
      </c>
      <c r="B6" s="10" t="str">
        <f aca="false">IFERROR(INDEX('Thành viên'!$B$6:$B$10,MATCH($A6,'Thành viên'!$A$6:$A$10,0))&amp;"","")</f>
        <v/>
      </c>
      <c r="C6" s="15" t="n">
        <f aca="false">COUNTIF('Phân việc'!$B$5:$B$43,$A6)</f>
        <v>8</v>
      </c>
      <c r="D6" s="15" t="n">
        <f aca="false">COUNTIFS('Phân việc'!$B$5:$B$43,$A6,'Phân việc'!$I$5:$I$43,"Đã nắm")</f>
        <v>0</v>
      </c>
      <c r="E6" s="16" t="n">
        <f aca="false">IF(C6=0,0,D6/C6)</f>
        <v>0</v>
      </c>
      <c r="F6" s="15" t="n">
        <f aca="false">COUNTIFS('Đối tượng CSDL'!$A$5:$A$114,"Bảng",'Đối tượng CSDL'!$D$5:$D$114,$A6)</f>
        <v>6</v>
      </c>
      <c r="G6" s="15" t="n">
        <f aca="false">COUNTIFS('Đối tượng CSDL'!$A$5:$A$114,"Trigger",'Đối tượng CSDL'!$D$5:$D$114,$A6)</f>
        <v>4</v>
      </c>
      <c r="H6" s="15" t="n">
        <f aca="false">COUNTIFS('Đối tượng CSDL'!$A$5:$A$114,"Transaction",'Đối tượng CSDL'!$D$5:$D$114,$A6)</f>
        <v>1</v>
      </c>
      <c r="I6" s="15" t="n">
        <f aca="false">COUNTIFS('Đối tượng CSDL'!$A$5:$A$114,"Function",'Đối tượng CSDL'!$D$5:$D$114,$A6)</f>
        <v>3</v>
      </c>
      <c r="J6" s="15" t="n">
        <f aca="false">COUNTIFS('Đối tượng CSDL'!$A$5:$A$114,"Procedure",'Đối tượng CSDL'!$D$5:$D$114,$A6)</f>
        <v>12</v>
      </c>
      <c r="K6" s="15" t="n">
        <f aca="false">COUNTIF('Mã lỗi'!$D$5:$D$34,$A6)</f>
        <v>8</v>
      </c>
      <c r="L6" s="15" t="n">
        <f aca="false">COUNTIF('Mục báo cáo'!$C$5:$C$56,$A6)</f>
        <v>10</v>
      </c>
      <c r="M6" s="15" t="n">
        <f aca="false">COUNTIF('Kiểm thử SQL'!$C$5:$C$56,$A6)</f>
        <v>9</v>
      </c>
      <c r="N6" s="15" t="n">
        <f aca="false">COUNTIF('Giao diện'!$F$5:$F$27,$A6)</f>
        <v>9</v>
      </c>
    </row>
    <row r="7" customFormat="false" ht="15" hidden="false" customHeight="false" outlineLevel="0" collapsed="false">
      <c r="A7" s="12" t="s">
        <v>31</v>
      </c>
      <c r="B7" s="10" t="str">
        <f aca="false">IFERROR(INDEX('Thành viên'!$B$6:$B$10,MATCH($A7,'Thành viên'!$A$6:$A$10,0))&amp;"","")</f>
        <v/>
      </c>
      <c r="C7" s="15" t="n">
        <f aca="false">COUNTIF('Phân việc'!$B$5:$B$43,$A7)</f>
        <v>7</v>
      </c>
      <c r="D7" s="15" t="n">
        <f aca="false">COUNTIFS('Phân việc'!$B$5:$B$43,$A7,'Phân việc'!$I$5:$I$43,"Đã nắm")</f>
        <v>0</v>
      </c>
      <c r="E7" s="16" t="n">
        <f aca="false">IF(C7=0,0,D7/C7)</f>
        <v>0</v>
      </c>
      <c r="F7" s="15" t="n">
        <f aca="false">COUNTIFS('Đối tượng CSDL'!$A$5:$A$114,"Bảng",'Đối tượng CSDL'!$D$5:$D$114,$A7)</f>
        <v>6</v>
      </c>
      <c r="G7" s="15" t="n">
        <f aca="false">COUNTIFS('Đối tượng CSDL'!$A$5:$A$114,"Trigger",'Đối tượng CSDL'!$D$5:$D$114,$A7)</f>
        <v>6</v>
      </c>
      <c r="H7" s="15" t="n">
        <f aca="false">COUNTIFS('Đối tượng CSDL'!$A$5:$A$114,"Transaction",'Đối tượng CSDL'!$D$5:$D$114,$A7)</f>
        <v>3</v>
      </c>
      <c r="I7" s="15" t="n">
        <f aca="false">COUNTIFS('Đối tượng CSDL'!$A$5:$A$114,"Function",'Đối tượng CSDL'!$D$5:$D$114,$A7)</f>
        <v>4</v>
      </c>
      <c r="J7" s="15" t="n">
        <f aca="false">COUNTIFS('Đối tượng CSDL'!$A$5:$A$114,"Procedure",'Đối tượng CSDL'!$D$5:$D$114,$A7)</f>
        <v>0</v>
      </c>
      <c r="K7" s="15" t="n">
        <f aca="false">COUNTIF('Mã lỗi'!$D$5:$D$34,$A7)</f>
        <v>11</v>
      </c>
      <c r="L7" s="15" t="n">
        <f aca="false">COUNTIF('Mục báo cáo'!$C$5:$C$56,$A7)</f>
        <v>3</v>
      </c>
      <c r="M7" s="15" t="n">
        <f aca="false">COUNTIF('Kiểm thử SQL'!$C$5:$C$56,$A7)</f>
        <v>15</v>
      </c>
      <c r="N7" s="15" t="n">
        <f aca="false">COUNTIF('Giao diện'!$F$5:$F$27,$A7)</f>
        <v>4</v>
      </c>
    </row>
    <row r="8" customFormat="false" ht="15" hidden="false" customHeight="false" outlineLevel="0" collapsed="false">
      <c r="A8" s="13" t="s">
        <v>35</v>
      </c>
      <c r="B8" s="10" t="str">
        <f aca="false">IFERROR(INDEX('Thành viên'!$B$6:$B$10,MATCH($A8,'Thành viên'!$A$6:$A$10,0))&amp;"","")</f>
        <v/>
      </c>
      <c r="C8" s="15" t="n">
        <f aca="false">COUNTIF('Phân việc'!$B$5:$B$43,$A8)</f>
        <v>8</v>
      </c>
      <c r="D8" s="15" t="n">
        <f aca="false">COUNTIFS('Phân việc'!$B$5:$B$43,$A8,'Phân việc'!$I$5:$I$43,"Đã nắm")</f>
        <v>0</v>
      </c>
      <c r="E8" s="16" t="n">
        <f aca="false">IF(C8=0,0,D8/C8)</f>
        <v>0</v>
      </c>
      <c r="F8" s="15" t="n">
        <f aca="false">COUNTIFS('Đối tượng CSDL'!$A$5:$A$114,"Bảng",'Đối tượng CSDL'!$D$5:$D$114,$A8)</f>
        <v>3</v>
      </c>
      <c r="G8" s="15" t="n">
        <f aca="false">COUNTIFS('Đối tượng CSDL'!$A$5:$A$114,"Trigger",'Đối tượng CSDL'!$D$5:$D$114,$A8)</f>
        <v>2</v>
      </c>
      <c r="H8" s="15" t="n">
        <f aca="false">COUNTIFS('Đối tượng CSDL'!$A$5:$A$114,"Transaction",'Đối tượng CSDL'!$D$5:$D$114,$A8)</f>
        <v>1</v>
      </c>
      <c r="I8" s="15" t="n">
        <f aca="false">COUNTIFS('Đối tượng CSDL'!$A$5:$A$114,"Function",'Đối tượng CSDL'!$D$5:$D$114,$A8)</f>
        <v>1</v>
      </c>
      <c r="J8" s="15" t="n">
        <f aca="false">COUNTIFS('Đối tượng CSDL'!$A$5:$A$114,"Procedure",'Đối tượng CSDL'!$D$5:$D$114,$A8)</f>
        <v>5</v>
      </c>
      <c r="K8" s="15" t="n">
        <f aca="false">COUNTIF('Mã lỗi'!$D$5:$D$34,$A8)</f>
        <v>5</v>
      </c>
      <c r="L8" s="15" t="n">
        <f aca="false">COUNTIF('Mục báo cáo'!$C$5:$C$56,$A8)</f>
        <v>9</v>
      </c>
      <c r="M8" s="15" t="n">
        <f aca="false">COUNTIF('Kiểm thử SQL'!$C$5:$C$56,$A8)</f>
        <v>9</v>
      </c>
      <c r="N8" s="15" t="n">
        <f aca="false">COUNTIF('Giao diện'!$F$5:$F$27,$A8)</f>
        <v>3</v>
      </c>
    </row>
    <row r="9" customFormat="false" ht="15" hidden="false" customHeight="false" outlineLevel="0" collapsed="false">
      <c r="A9" s="14" t="s">
        <v>40</v>
      </c>
      <c r="B9" s="10" t="str">
        <f aca="false">IFERROR(INDEX('Thành viên'!$B$6:$B$10,MATCH($A9,'Thành viên'!$A$6:$A$10,0))&amp;"","")</f>
        <v/>
      </c>
      <c r="C9" s="15" t="n">
        <f aca="false">COUNTIF('Phân việc'!$B$5:$B$43,$A9)</f>
        <v>7</v>
      </c>
      <c r="D9" s="15" t="n">
        <f aca="false">COUNTIFS('Phân việc'!$B$5:$B$43,$A9,'Phân việc'!$I$5:$I$43,"Đã nắm")</f>
        <v>0</v>
      </c>
      <c r="E9" s="16" t="n">
        <f aca="false">IF(C9=0,0,D9/C9)</f>
        <v>0</v>
      </c>
      <c r="F9" s="15" t="n">
        <f aca="false">COUNTIFS('Đối tượng CSDL'!$A$5:$A$114,"Bảng",'Đối tượng CSDL'!$D$5:$D$114,$A9)</f>
        <v>0</v>
      </c>
      <c r="G9" s="15" t="n">
        <f aca="false">COUNTIFS('Đối tượng CSDL'!$A$5:$A$114,"Trigger",'Đối tượng CSDL'!$D$5:$D$114,$A9)</f>
        <v>0</v>
      </c>
      <c r="H9" s="15" t="n">
        <f aca="false">COUNTIFS('Đối tượng CSDL'!$A$5:$A$114,"Transaction",'Đối tượng CSDL'!$D$5:$D$114,$A9)</f>
        <v>0</v>
      </c>
      <c r="I9" s="15" t="n">
        <f aca="false">COUNTIFS('Đối tượng CSDL'!$A$5:$A$114,"Function",'Đối tượng CSDL'!$D$5:$D$114,$A9)</f>
        <v>0</v>
      </c>
      <c r="J9" s="15" t="n">
        <f aca="false">COUNTIFS('Đối tượng CSDL'!$A$5:$A$114,"Procedure",'Đối tượng CSDL'!$D$5:$D$114,$A9)</f>
        <v>7</v>
      </c>
      <c r="K9" s="15" t="n">
        <f aca="false">COUNTIF('Mã lỗi'!$D$5:$D$34,$A9)</f>
        <v>0</v>
      </c>
      <c r="L9" s="15" t="n">
        <f aca="false">COUNTIF('Mục báo cáo'!$C$5:$C$56,$A9)</f>
        <v>8</v>
      </c>
      <c r="M9" s="15" t="n">
        <f aca="false">COUNTIF('Kiểm thử SQL'!$C$5:$C$56,$A9)</f>
        <v>4</v>
      </c>
      <c r="N9" s="15" t="n">
        <f aca="false">COUNTIF('Giao diện'!$F$5:$F$27,$A9)</f>
        <v>0</v>
      </c>
    </row>
    <row r="10" customFormat="false" ht="15" hidden="false" customHeight="false" outlineLevel="0" collapsed="false">
      <c r="A10" s="17" t="s">
        <v>58</v>
      </c>
      <c r="B10" s="17"/>
      <c r="C10" s="18" t="n">
        <f aca="false">SUM(C5:C9)</f>
        <v>39</v>
      </c>
      <c r="D10" s="18" t="n">
        <f aca="false">SUM(D5:D9)</f>
        <v>0</v>
      </c>
      <c r="E10" s="19" t="n">
        <f aca="false">IF(C10=0,0,D10/C10)</f>
        <v>0</v>
      </c>
      <c r="F10" s="18" t="n">
        <f aca="false">SUM(F5:F9)</f>
        <v>23</v>
      </c>
      <c r="G10" s="18" t="n">
        <f aca="false">SUM(G5:G9)</f>
        <v>18</v>
      </c>
      <c r="H10" s="18" t="n">
        <f aca="false">SUM(H5:H9)</f>
        <v>7</v>
      </c>
      <c r="I10" s="18" t="n">
        <f aca="false">SUM(I5:I9)</f>
        <v>8</v>
      </c>
      <c r="J10" s="18" t="n">
        <f aca="false">SUM(J5:J9)</f>
        <v>40</v>
      </c>
      <c r="K10" s="18" t="n">
        <f aca="false">SUM(K5:K9)</f>
        <v>30</v>
      </c>
      <c r="L10" s="18" t="n">
        <f aca="false">SUM(L5:L9)</f>
        <v>46</v>
      </c>
      <c r="M10" s="18" t="n">
        <f aca="false">SUM(M5:M9)</f>
        <v>52</v>
      </c>
      <c r="N10" s="18" t="n">
        <f aca="false">SUM(N5:N9)</f>
        <v>23</v>
      </c>
    </row>
    <row r="11" customFormat="false" ht="15" hidden="false" customHeight="false" outlineLevel="0" collapsed="false">
      <c r="A11" s="20" t="s">
        <v>59</v>
      </c>
      <c r="B11" s="20"/>
      <c r="C11" s="21"/>
      <c r="D11" s="21"/>
      <c r="E11" s="21"/>
      <c r="F11" s="21" t="n">
        <v>23</v>
      </c>
      <c r="G11" s="21" t="n">
        <v>18</v>
      </c>
      <c r="H11" s="21" t="n">
        <v>7</v>
      </c>
      <c r="I11" s="21" t="n">
        <v>8</v>
      </c>
      <c r="J11" s="21" t="n">
        <v>40</v>
      </c>
      <c r="K11" s="21" t="n">
        <v>30</v>
      </c>
      <c r="L11" s="21"/>
      <c r="M11" s="21" t="n">
        <v>52</v>
      </c>
      <c r="N11" s="21" t="n">
        <v>23</v>
      </c>
    </row>
    <row r="12" customFormat="false" ht="15" hidden="false" customHeight="false" outlineLevel="0" collapsed="false">
      <c r="A12" s="17" t="s">
        <v>60</v>
      </c>
      <c r="B12" s="17"/>
      <c r="C12" s="18"/>
      <c r="D12" s="18"/>
      <c r="E12" s="18"/>
      <c r="F12" s="18" t="str">
        <f aca="false">IF(F10=F11,"Khớp","Lệch")</f>
        <v>Khớp</v>
      </c>
      <c r="G12" s="18" t="str">
        <f aca="false">IF(G10=G11,"Khớp","Lệch")</f>
        <v>Khớp</v>
      </c>
      <c r="H12" s="18" t="str">
        <f aca="false">IF(H10=H11,"Khớp","Lệch")</f>
        <v>Khớp</v>
      </c>
      <c r="I12" s="18" t="str">
        <f aca="false">IF(I10=I11,"Khớp","Lệch")</f>
        <v>Khớp</v>
      </c>
      <c r="J12" s="18" t="str">
        <f aca="false">IF(J10=J11,"Khớp","Lệch")</f>
        <v>Khớp</v>
      </c>
      <c r="K12" s="18" t="str">
        <f aca="false">IF(K10=K11,"Khớp","Lệch")</f>
        <v>Khớp</v>
      </c>
      <c r="L12" s="18"/>
      <c r="M12" s="18" t="str">
        <f aca="false">IF(M10=M11,"Khớp","Lệch")</f>
        <v>Khớp</v>
      </c>
      <c r="N12" s="18" t="str">
        <f aca="false">IF(N10=N11,"Khớp","Lệch")</f>
        <v>Khớp</v>
      </c>
    </row>
    <row r="14" customFormat="false" ht="15" hidden="false" customHeight="false" outlineLevel="0" collapsed="false">
      <c r="A14" s="6" t="s">
        <v>61</v>
      </c>
    </row>
    <row r="15" customFormat="false" ht="15" hidden="false" customHeight="false" outlineLevel="0" collapsed="false">
      <c r="A15" s="6" t="s">
        <v>62</v>
      </c>
    </row>
  </sheetData>
  <mergeCells count="4">
    <mergeCell ref="A2:N2"/>
    <mergeCell ref="A10:B10"/>
    <mergeCell ref="A11:B11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9AB8A6"/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xSplit="0" ySplit="4" topLeftCell="A5" activePane="bottomLeft" state="frozen"/>
      <selection pane="bottomLeft" activeCell="A5" sqref="A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60"/>
    <col collapsed="false" customWidth="true" hidden="false" outlineLevel="0" max="6" min="6" style="0" width="32"/>
    <col collapsed="false" customWidth="true" hidden="false" outlineLevel="0" max="7" min="7" style="0" width="15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4" t="s">
        <v>63</v>
      </c>
    </row>
    <row r="2" customFormat="false" ht="30" hidden="false" customHeight="true" outlineLevel="0" collapsed="false">
      <c r="A2" s="5" t="s">
        <v>64</v>
      </c>
      <c r="B2" s="5"/>
      <c r="C2" s="5"/>
      <c r="D2" s="5"/>
      <c r="E2" s="5"/>
      <c r="F2" s="5"/>
      <c r="G2" s="5"/>
      <c r="H2" s="5"/>
      <c r="I2" s="5"/>
      <c r="J2" s="5"/>
    </row>
    <row r="4" customFormat="false" ht="15" hidden="false" customHeight="false" outlineLevel="0" collapsed="false">
      <c r="A4" s="7" t="s">
        <v>65</v>
      </c>
      <c r="B4" s="7" t="s">
        <v>45</v>
      </c>
      <c r="C4" s="7" t="s">
        <v>22</v>
      </c>
      <c r="D4" s="7" t="s">
        <v>66</v>
      </c>
      <c r="E4" s="7" t="s">
        <v>46</v>
      </c>
      <c r="F4" s="7" t="s">
        <v>67</v>
      </c>
      <c r="G4" s="7" t="s">
        <v>55</v>
      </c>
      <c r="H4" s="7" t="s">
        <v>68</v>
      </c>
      <c r="I4" s="7" t="s">
        <v>69</v>
      </c>
      <c r="J4" s="7" t="s">
        <v>70</v>
      </c>
    </row>
    <row r="5" customFormat="false" ht="15" hidden="false" customHeight="false" outlineLevel="0" collapsed="false">
      <c r="A5" s="10" t="s">
        <v>71</v>
      </c>
      <c r="B5" s="8" t="s">
        <v>28</v>
      </c>
      <c r="C5" s="10" t="str">
        <f aca="false">IFERROR(INDEX('Thành viên'!$B$6:$B$10,MATCH($B5,'Thành viên'!$A$6:$A$10,0))&amp;"","")</f>
        <v/>
      </c>
      <c r="D5" s="10" t="s">
        <v>72</v>
      </c>
      <c r="E5" s="10" t="s">
        <v>73</v>
      </c>
      <c r="F5" s="10" t="s">
        <v>74</v>
      </c>
      <c r="G5" s="10" t="s">
        <v>75</v>
      </c>
      <c r="H5" s="10" t="s">
        <v>31</v>
      </c>
      <c r="I5" s="9" t="s">
        <v>76</v>
      </c>
      <c r="J5" s="9"/>
    </row>
    <row r="6" customFormat="false" ht="15" hidden="false" customHeight="false" outlineLevel="0" collapsed="false">
      <c r="A6" s="10" t="s">
        <v>77</v>
      </c>
      <c r="B6" s="8" t="s">
        <v>28</v>
      </c>
      <c r="C6" s="10" t="str">
        <f aca="false">IFERROR(INDEX('Thành viên'!$B$6:$B$10,MATCH($B6,'Thành viên'!$A$6:$A$10,0))&amp;"","")</f>
        <v/>
      </c>
      <c r="D6" s="10" t="s">
        <v>78</v>
      </c>
      <c r="E6" s="10" t="s">
        <v>79</v>
      </c>
      <c r="F6" s="10" t="s">
        <v>80</v>
      </c>
      <c r="G6" s="10" t="s">
        <v>81</v>
      </c>
      <c r="H6" s="10" t="s">
        <v>31</v>
      </c>
      <c r="I6" s="9" t="s">
        <v>76</v>
      </c>
      <c r="J6" s="9"/>
    </row>
    <row r="7" customFormat="false" ht="15" hidden="false" customHeight="false" outlineLevel="0" collapsed="false">
      <c r="A7" s="10" t="s">
        <v>82</v>
      </c>
      <c r="B7" s="8" t="s">
        <v>28</v>
      </c>
      <c r="C7" s="10" t="str">
        <f aca="false">IFERROR(INDEX('Thành viên'!$B$6:$B$10,MATCH($B7,'Thành viên'!$A$6:$A$10,0))&amp;"","")</f>
        <v/>
      </c>
      <c r="D7" s="10" t="s">
        <v>83</v>
      </c>
      <c r="E7" s="10" t="s">
        <v>84</v>
      </c>
      <c r="F7" s="10" t="s">
        <v>85</v>
      </c>
      <c r="G7" s="10" t="s">
        <v>86</v>
      </c>
      <c r="H7" s="10" t="s">
        <v>31</v>
      </c>
      <c r="I7" s="9" t="s">
        <v>76</v>
      </c>
      <c r="J7" s="9"/>
    </row>
    <row r="8" customFormat="false" ht="15" hidden="false" customHeight="false" outlineLevel="0" collapsed="false">
      <c r="A8" s="10" t="s">
        <v>87</v>
      </c>
      <c r="B8" s="8" t="s">
        <v>28</v>
      </c>
      <c r="C8" s="10" t="str">
        <f aca="false">IFERROR(INDEX('Thành viên'!$B$6:$B$10,MATCH($B8,'Thành viên'!$A$6:$A$10,0))&amp;"","")</f>
        <v/>
      </c>
      <c r="D8" s="10" t="s">
        <v>83</v>
      </c>
      <c r="E8" s="10" t="s">
        <v>88</v>
      </c>
      <c r="F8" s="10" t="s">
        <v>89</v>
      </c>
      <c r="G8" s="10" t="s">
        <v>90</v>
      </c>
      <c r="H8" s="10" t="s">
        <v>31</v>
      </c>
      <c r="I8" s="9" t="s">
        <v>76</v>
      </c>
      <c r="J8" s="9"/>
    </row>
    <row r="9" customFormat="false" ht="15" hidden="false" customHeight="false" outlineLevel="0" collapsed="false">
      <c r="A9" s="10" t="s">
        <v>91</v>
      </c>
      <c r="B9" s="8" t="s">
        <v>28</v>
      </c>
      <c r="C9" s="10" t="str">
        <f aca="false">IFERROR(INDEX('Thành viên'!$B$6:$B$10,MATCH($B9,'Thành viên'!$A$6:$A$10,0))&amp;"","")</f>
        <v/>
      </c>
      <c r="D9" s="10" t="s">
        <v>83</v>
      </c>
      <c r="E9" s="10" t="s">
        <v>92</v>
      </c>
      <c r="F9" s="10" t="s">
        <v>93</v>
      </c>
      <c r="G9" s="10" t="s">
        <v>94</v>
      </c>
      <c r="H9" s="10" t="s">
        <v>31</v>
      </c>
      <c r="I9" s="9" t="s">
        <v>76</v>
      </c>
      <c r="J9" s="9"/>
    </row>
    <row r="10" customFormat="false" ht="15" hidden="false" customHeight="false" outlineLevel="0" collapsed="false">
      <c r="A10" s="10" t="s">
        <v>95</v>
      </c>
      <c r="B10" s="8" t="s">
        <v>28</v>
      </c>
      <c r="C10" s="10" t="str">
        <f aca="false">IFERROR(INDEX('Thành viên'!$B$6:$B$10,MATCH($B10,'Thành viên'!$A$6:$A$10,0))&amp;"","")</f>
        <v/>
      </c>
      <c r="D10" s="10" t="s">
        <v>83</v>
      </c>
      <c r="E10" s="10" t="s">
        <v>96</v>
      </c>
      <c r="F10" s="10" t="s">
        <v>97</v>
      </c>
      <c r="G10" s="10" t="s">
        <v>98</v>
      </c>
      <c r="H10" s="10" t="s">
        <v>31</v>
      </c>
      <c r="I10" s="9" t="s">
        <v>76</v>
      </c>
      <c r="J10" s="9"/>
    </row>
    <row r="11" customFormat="false" ht="15" hidden="false" customHeight="false" outlineLevel="0" collapsed="false">
      <c r="A11" s="10" t="s">
        <v>99</v>
      </c>
      <c r="B11" s="8" t="s">
        <v>28</v>
      </c>
      <c r="C11" s="10" t="str">
        <f aca="false">IFERROR(INDEX('Thành viên'!$B$6:$B$10,MATCH($B11,'Thành viên'!$A$6:$A$10,0))&amp;"","")</f>
        <v/>
      </c>
      <c r="D11" s="10" t="s">
        <v>83</v>
      </c>
      <c r="E11" s="10" t="s">
        <v>100</v>
      </c>
      <c r="F11" s="10" t="s">
        <v>89</v>
      </c>
      <c r="G11" s="10" t="s">
        <v>101</v>
      </c>
      <c r="H11" s="10" t="s">
        <v>31</v>
      </c>
      <c r="I11" s="9" t="s">
        <v>76</v>
      </c>
      <c r="J11" s="9"/>
    </row>
    <row r="12" customFormat="false" ht="15" hidden="false" customHeight="false" outlineLevel="0" collapsed="false">
      <c r="A12" s="10" t="s">
        <v>102</v>
      </c>
      <c r="B12" s="8" t="s">
        <v>28</v>
      </c>
      <c r="C12" s="10" t="str">
        <f aca="false">IFERROR(INDEX('Thành viên'!$B$6:$B$10,MATCH($B12,'Thành viên'!$A$6:$A$10,0))&amp;"","")</f>
        <v/>
      </c>
      <c r="D12" s="10" t="s">
        <v>103</v>
      </c>
      <c r="E12" s="10" t="s">
        <v>104</v>
      </c>
      <c r="F12" s="10" t="s">
        <v>105</v>
      </c>
      <c r="G12" s="10" t="s">
        <v>106</v>
      </c>
      <c r="H12" s="10" t="s">
        <v>31</v>
      </c>
      <c r="I12" s="9" t="s">
        <v>76</v>
      </c>
      <c r="J12" s="9"/>
    </row>
    <row r="13" customFormat="false" ht="15" hidden="false" customHeight="false" outlineLevel="0" collapsed="false">
      <c r="A13" s="10" t="s">
        <v>107</v>
      </c>
      <c r="B13" s="8" t="s">
        <v>28</v>
      </c>
      <c r="C13" s="10" t="str">
        <f aca="false">IFERROR(INDEX('Thành viên'!$B$6:$B$10,MATCH($B13,'Thành viên'!$A$6:$A$10,0))&amp;"","")</f>
        <v/>
      </c>
      <c r="D13" s="10" t="s">
        <v>108</v>
      </c>
      <c r="E13" s="10" t="s">
        <v>109</v>
      </c>
      <c r="F13" s="10" t="s">
        <v>110</v>
      </c>
      <c r="G13" s="10" t="s">
        <v>111</v>
      </c>
      <c r="H13" s="10" t="s">
        <v>31</v>
      </c>
      <c r="I13" s="9" t="s">
        <v>76</v>
      </c>
      <c r="J13" s="9"/>
    </row>
    <row r="14" customFormat="false" ht="15" hidden="false" customHeight="false" outlineLevel="0" collapsed="false">
      <c r="A14" s="10" t="s">
        <v>112</v>
      </c>
      <c r="B14" s="11" t="s">
        <v>32</v>
      </c>
      <c r="C14" s="10" t="str">
        <f aca="false">IFERROR(INDEX('Thành viên'!$B$6:$B$10,MATCH($B14,'Thành viên'!$A$6:$A$10,0))&amp;"","")</f>
        <v/>
      </c>
      <c r="D14" s="10" t="s">
        <v>83</v>
      </c>
      <c r="E14" s="10" t="s">
        <v>113</v>
      </c>
      <c r="F14" s="10" t="s">
        <v>85</v>
      </c>
      <c r="G14" s="10" t="s">
        <v>86</v>
      </c>
      <c r="H14" s="10" t="s">
        <v>35</v>
      </c>
      <c r="I14" s="9" t="s">
        <v>76</v>
      </c>
      <c r="J14" s="9"/>
    </row>
    <row r="15" customFormat="false" ht="15" hidden="false" customHeight="false" outlineLevel="0" collapsed="false">
      <c r="A15" s="10" t="s">
        <v>114</v>
      </c>
      <c r="B15" s="11" t="s">
        <v>32</v>
      </c>
      <c r="C15" s="10" t="str">
        <f aca="false">IFERROR(INDEX('Thành viên'!$B$6:$B$10,MATCH($B15,'Thành viên'!$A$6:$A$10,0))&amp;"","")</f>
        <v/>
      </c>
      <c r="D15" s="10" t="s">
        <v>83</v>
      </c>
      <c r="E15" s="10" t="s">
        <v>115</v>
      </c>
      <c r="F15" s="10" t="s">
        <v>89</v>
      </c>
      <c r="G15" s="10" t="s">
        <v>90</v>
      </c>
      <c r="H15" s="10" t="s">
        <v>35</v>
      </c>
      <c r="I15" s="9" t="s">
        <v>76</v>
      </c>
      <c r="J15" s="9"/>
    </row>
    <row r="16" customFormat="false" ht="15" hidden="false" customHeight="false" outlineLevel="0" collapsed="false">
      <c r="A16" s="10" t="s">
        <v>116</v>
      </c>
      <c r="B16" s="11" t="s">
        <v>32</v>
      </c>
      <c r="C16" s="10" t="str">
        <f aca="false">IFERROR(INDEX('Thành viên'!$B$6:$B$10,MATCH($B16,'Thành viên'!$A$6:$A$10,0))&amp;"","")</f>
        <v/>
      </c>
      <c r="D16" s="10" t="s">
        <v>83</v>
      </c>
      <c r="E16" s="10" t="s">
        <v>117</v>
      </c>
      <c r="F16" s="10" t="s">
        <v>118</v>
      </c>
      <c r="G16" s="10" t="s">
        <v>94</v>
      </c>
      <c r="H16" s="10" t="s">
        <v>35</v>
      </c>
      <c r="I16" s="9" t="s">
        <v>76</v>
      </c>
      <c r="J16" s="9"/>
    </row>
    <row r="17" customFormat="false" ht="15" hidden="false" customHeight="false" outlineLevel="0" collapsed="false">
      <c r="A17" s="10" t="s">
        <v>119</v>
      </c>
      <c r="B17" s="11" t="s">
        <v>32</v>
      </c>
      <c r="C17" s="10" t="str">
        <f aca="false">IFERROR(INDEX('Thành viên'!$B$6:$B$10,MATCH($B17,'Thành viên'!$A$6:$A$10,0))&amp;"","")</f>
        <v/>
      </c>
      <c r="D17" s="10" t="s">
        <v>120</v>
      </c>
      <c r="E17" s="10" t="s">
        <v>121</v>
      </c>
      <c r="F17" s="10" t="s">
        <v>122</v>
      </c>
      <c r="G17" s="10" t="s">
        <v>123</v>
      </c>
      <c r="H17" s="10" t="s">
        <v>35</v>
      </c>
      <c r="I17" s="9" t="s">
        <v>76</v>
      </c>
      <c r="J17" s="9"/>
    </row>
    <row r="18" customFormat="false" ht="15" hidden="false" customHeight="false" outlineLevel="0" collapsed="false">
      <c r="A18" s="10" t="s">
        <v>124</v>
      </c>
      <c r="B18" s="11" t="s">
        <v>32</v>
      </c>
      <c r="C18" s="10" t="str">
        <f aca="false">IFERROR(INDEX('Thành viên'!$B$6:$B$10,MATCH($B18,'Thành viên'!$A$6:$A$10,0))&amp;"","")</f>
        <v/>
      </c>
      <c r="D18" s="10" t="s">
        <v>78</v>
      </c>
      <c r="E18" s="10" t="s">
        <v>125</v>
      </c>
      <c r="F18" s="10" t="s">
        <v>126</v>
      </c>
      <c r="G18" s="10" t="s">
        <v>127</v>
      </c>
      <c r="H18" s="10" t="s">
        <v>35</v>
      </c>
      <c r="I18" s="9" t="s">
        <v>76</v>
      </c>
      <c r="J18" s="9"/>
    </row>
    <row r="19" customFormat="false" ht="15" hidden="false" customHeight="false" outlineLevel="0" collapsed="false">
      <c r="A19" s="10" t="s">
        <v>128</v>
      </c>
      <c r="B19" s="11" t="s">
        <v>32</v>
      </c>
      <c r="C19" s="10" t="str">
        <f aca="false">IFERROR(INDEX('Thành viên'!$B$6:$B$10,MATCH($B19,'Thành viên'!$A$6:$A$10,0))&amp;"","")</f>
        <v/>
      </c>
      <c r="D19" s="10" t="s">
        <v>78</v>
      </c>
      <c r="E19" s="10" t="s">
        <v>129</v>
      </c>
      <c r="F19" s="10" t="s">
        <v>130</v>
      </c>
      <c r="G19" s="10" t="s">
        <v>131</v>
      </c>
      <c r="H19" s="10" t="s">
        <v>35</v>
      </c>
      <c r="I19" s="9" t="s">
        <v>76</v>
      </c>
      <c r="J19" s="9"/>
    </row>
    <row r="20" customFormat="false" ht="15" hidden="false" customHeight="false" outlineLevel="0" collapsed="false">
      <c r="A20" s="10" t="s">
        <v>132</v>
      </c>
      <c r="B20" s="11" t="s">
        <v>32</v>
      </c>
      <c r="C20" s="10" t="str">
        <f aca="false">IFERROR(INDEX('Thành viên'!$B$6:$B$10,MATCH($B20,'Thành viên'!$A$6:$A$10,0))&amp;"","")</f>
        <v/>
      </c>
      <c r="D20" s="10" t="s">
        <v>108</v>
      </c>
      <c r="E20" s="10" t="s">
        <v>133</v>
      </c>
      <c r="F20" s="10" t="s">
        <v>134</v>
      </c>
      <c r="G20" s="10" t="s">
        <v>135</v>
      </c>
      <c r="H20" s="10" t="s">
        <v>35</v>
      </c>
      <c r="I20" s="9" t="s">
        <v>76</v>
      </c>
      <c r="J20" s="9"/>
    </row>
    <row r="21" customFormat="false" ht="15" hidden="false" customHeight="false" outlineLevel="0" collapsed="false">
      <c r="A21" s="10" t="s">
        <v>136</v>
      </c>
      <c r="B21" s="11" t="s">
        <v>32</v>
      </c>
      <c r="C21" s="10" t="str">
        <f aca="false">IFERROR(INDEX('Thành viên'!$B$6:$B$10,MATCH($B21,'Thành viên'!$A$6:$A$10,0))&amp;"","")</f>
        <v/>
      </c>
      <c r="D21" s="10" t="s">
        <v>103</v>
      </c>
      <c r="E21" s="10" t="s">
        <v>137</v>
      </c>
      <c r="F21" s="10" t="s">
        <v>105</v>
      </c>
      <c r="G21" s="10" t="s">
        <v>106</v>
      </c>
      <c r="H21" s="10" t="s">
        <v>35</v>
      </c>
      <c r="I21" s="9" t="s">
        <v>76</v>
      </c>
      <c r="J21" s="9"/>
    </row>
    <row r="22" customFormat="false" ht="15" hidden="false" customHeight="false" outlineLevel="0" collapsed="false">
      <c r="A22" s="10" t="s">
        <v>138</v>
      </c>
      <c r="B22" s="12" t="s">
        <v>31</v>
      </c>
      <c r="C22" s="10" t="str">
        <f aca="false">IFERROR(INDEX('Thành viên'!$B$6:$B$10,MATCH($B22,'Thành viên'!$A$6:$A$10,0))&amp;"","")</f>
        <v/>
      </c>
      <c r="D22" s="10" t="s">
        <v>83</v>
      </c>
      <c r="E22" s="10" t="s">
        <v>139</v>
      </c>
      <c r="F22" s="10" t="s">
        <v>85</v>
      </c>
      <c r="G22" s="10" t="s">
        <v>86</v>
      </c>
      <c r="H22" s="10" t="s">
        <v>28</v>
      </c>
      <c r="I22" s="9" t="s">
        <v>76</v>
      </c>
      <c r="J22" s="9"/>
    </row>
    <row r="23" customFormat="false" ht="15" hidden="false" customHeight="false" outlineLevel="0" collapsed="false">
      <c r="A23" s="10" t="s">
        <v>140</v>
      </c>
      <c r="B23" s="12" t="s">
        <v>31</v>
      </c>
      <c r="C23" s="10" t="str">
        <f aca="false">IFERROR(INDEX('Thành viên'!$B$6:$B$10,MATCH($B23,'Thành viên'!$A$6:$A$10,0))&amp;"","")</f>
        <v/>
      </c>
      <c r="D23" s="10" t="s">
        <v>83</v>
      </c>
      <c r="E23" s="10" t="s">
        <v>141</v>
      </c>
      <c r="F23" s="10" t="s">
        <v>89</v>
      </c>
      <c r="G23" s="10" t="s">
        <v>90</v>
      </c>
      <c r="H23" s="10" t="s">
        <v>28</v>
      </c>
      <c r="I23" s="9" t="s">
        <v>76</v>
      </c>
      <c r="J23" s="9"/>
    </row>
    <row r="24" customFormat="false" ht="15" hidden="false" customHeight="false" outlineLevel="0" collapsed="false">
      <c r="A24" s="10" t="s">
        <v>142</v>
      </c>
      <c r="B24" s="12" t="s">
        <v>31</v>
      </c>
      <c r="C24" s="10" t="str">
        <f aca="false">IFERROR(INDEX('Thành viên'!$B$6:$B$10,MATCH($B24,'Thành viên'!$A$6:$A$10,0))&amp;"","")</f>
        <v/>
      </c>
      <c r="D24" s="10" t="s">
        <v>83</v>
      </c>
      <c r="E24" s="10" t="s">
        <v>143</v>
      </c>
      <c r="F24" s="10" t="s">
        <v>93</v>
      </c>
      <c r="G24" s="10" t="s">
        <v>94</v>
      </c>
      <c r="H24" s="10" t="s">
        <v>28</v>
      </c>
      <c r="I24" s="9" t="s">
        <v>76</v>
      </c>
      <c r="J24" s="9"/>
    </row>
    <row r="25" customFormat="false" ht="15" hidden="false" customHeight="false" outlineLevel="0" collapsed="false">
      <c r="A25" s="10" t="s">
        <v>144</v>
      </c>
      <c r="B25" s="12" t="s">
        <v>31</v>
      </c>
      <c r="C25" s="10" t="str">
        <f aca="false">IFERROR(INDEX('Thành viên'!$B$6:$B$10,MATCH($B25,'Thành viên'!$A$6:$A$10,0))&amp;"","")</f>
        <v/>
      </c>
      <c r="D25" s="10" t="s">
        <v>83</v>
      </c>
      <c r="E25" s="10" t="s">
        <v>145</v>
      </c>
      <c r="F25" s="10" t="s">
        <v>97</v>
      </c>
      <c r="G25" s="10" t="s">
        <v>98</v>
      </c>
      <c r="H25" s="10" t="s">
        <v>28</v>
      </c>
      <c r="I25" s="9" t="s">
        <v>76</v>
      </c>
      <c r="J25" s="9"/>
    </row>
    <row r="26" customFormat="false" ht="15" hidden="false" customHeight="false" outlineLevel="0" collapsed="false">
      <c r="A26" s="10" t="s">
        <v>146</v>
      </c>
      <c r="B26" s="12" t="s">
        <v>31</v>
      </c>
      <c r="C26" s="10" t="str">
        <f aca="false">IFERROR(INDEX('Thành viên'!$B$6:$B$10,MATCH($B26,'Thành viên'!$A$6:$A$10,0))&amp;"","")</f>
        <v/>
      </c>
      <c r="D26" s="10" t="s">
        <v>72</v>
      </c>
      <c r="E26" s="10" t="s">
        <v>147</v>
      </c>
      <c r="F26" s="10" t="s">
        <v>74</v>
      </c>
      <c r="G26" s="10" t="s">
        <v>148</v>
      </c>
      <c r="H26" s="10" t="s">
        <v>28</v>
      </c>
      <c r="I26" s="9" t="s">
        <v>76</v>
      </c>
      <c r="J26" s="9"/>
    </row>
    <row r="27" customFormat="false" ht="15" hidden="false" customHeight="false" outlineLevel="0" collapsed="false">
      <c r="A27" s="10" t="s">
        <v>149</v>
      </c>
      <c r="B27" s="12" t="s">
        <v>31</v>
      </c>
      <c r="C27" s="10" t="str">
        <f aca="false">IFERROR(INDEX('Thành viên'!$B$6:$B$10,MATCH($B27,'Thành viên'!$A$6:$A$10,0))&amp;"","")</f>
        <v/>
      </c>
      <c r="D27" s="10" t="s">
        <v>108</v>
      </c>
      <c r="E27" s="10" t="s">
        <v>150</v>
      </c>
      <c r="F27" s="10" t="s">
        <v>134</v>
      </c>
      <c r="G27" s="10" t="s">
        <v>94</v>
      </c>
      <c r="H27" s="10" t="s">
        <v>28</v>
      </c>
      <c r="I27" s="9" t="s">
        <v>76</v>
      </c>
      <c r="J27" s="9"/>
    </row>
    <row r="28" customFormat="false" ht="15" hidden="false" customHeight="false" outlineLevel="0" collapsed="false">
      <c r="A28" s="10" t="s">
        <v>151</v>
      </c>
      <c r="B28" s="12" t="s">
        <v>31</v>
      </c>
      <c r="C28" s="10" t="str">
        <f aca="false">IFERROR(INDEX('Thành viên'!$B$6:$B$10,MATCH($B28,'Thành viên'!$A$6:$A$10,0))&amp;"","")</f>
        <v/>
      </c>
      <c r="D28" s="10" t="s">
        <v>103</v>
      </c>
      <c r="E28" s="10" t="s">
        <v>152</v>
      </c>
      <c r="F28" s="10" t="s">
        <v>105</v>
      </c>
      <c r="G28" s="10" t="s">
        <v>106</v>
      </c>
      <c r="H28" s="10" t="s">
        <v>28</v>
      </c>
      <c r="I28" s="9" t="s">
        <v>76</v>
      </c>
      <c r="J28" s="9"/>
    </row>
    <row r="29" customFormat="false" ht="15" hidden="false" customHeight="false" outlineLevel="0" collapsed="false">
      <c r="A29" s="10" t="s">
        <v>153</v>
      </c>
      <c r="B29" s="13" t="s">
        <v>35</v>
      </c>
      <c r="C29" s="10" t="str">
        <f aca="false">IFERROR(INDEX('Thành viên'!$B$6:$B$10,MATCH($B29,'Thành viên'!$A$6:$A$10,0))&amp;"","")</f>
        <v/>
      </c>
      <c r="D29" s="10" t="s">
        <v>83</v>
      </c>
      <c r="E29" s="10" t="s">
        <v>154</v>
      </c>
      <c r="F29" s="10" t="s">
        <v>85</v>
      </c>
      <c r="G29" s="10" t="s">
        <v>86</v>
      </c>
      <c r="H29" s="10" t="s">
        <v>40</v>
      </c>
      <c r="I29" s="9" t="s">
        <v>76</v>
      </c>
      <c r="J29" s="9"/>
    </row>
    <row r="30" customFormat="false" ht="15" hidden="false" customHeight="false" outlineLevel="0" collapsed="false">
      <c r="A30" s="10" t="s">
        <v>155</v>
      </c>
      <c r="B30" s="13" t="s">
        <v>35</v>
      </c>
      <c r="C30" s="10" t="str">
        <f aca="false">IFERROR(INDEX('Thành viên'!$B$6:$B$10,MATCH($B30,'Thành viên'!$A$6:$A$10,0))&amp;"","")</f>
        <v/>
      </c>
      <c r="D30" s="10" t="s">
        <v>83</v>
      </c>
      <c r="E30" s="10" t="s">
        <v>156</v>
      </c>
      <c r="F30" s="10" t="s">
        <v>157</v>
      </c>
      <c r="G30" s="10" t="s">
        <v>158</v>
      </c>
      <c r="H30" s="10" t="s">
        <v>40</v>
      </c>
      <c r="I30" s="9" t="s">
        <v>76</v>
      </c>
      <c r="J30" s="9"/>
    </row>
    <row r="31" customFormat="false" ht="15" hidden="false" customHeight="false" outlineLevel="0" collapsed="false">
      <c r="A31" s="10" t="s">
        <v>159</v>
      </c>
      <c r="B31" s="13" t="s">
        <v>35</v>
      </c>
      <c r="C31" s="10" t="str">
        <f aca="false">IFERROR(INDEX('Thành viên'!$B$6:$B$10,MATCH($B31,'Thành viên'!$A$6:$A$10,0))&amp;"","")</f>
        <v/>
      </c>
      <c r="D31" s="10" t="s">
        <v>103</v>
      </c>
      <c r="E31" s="10" t="s">
        <v>160</v>
      </c>
      <c r="F31" s="10" t="s">
        <v>105</v>
      </c>
      <c r="G31" s="10" t="s">
        <v>106</v>
      </c>
      <c r="H31" s="10" t="s">
        <v>40</v>
      </c>
      <c r="I31" s="9" t="s">
        <v>76</v>
      </c>
      <c r="J31" s="9"/>
    </row>
    <row r="32" customFormat="false" ht="15" hidden="false" customHeight="false" outlineLevel="0" collapsed="false">
      <c r="A32" s="10" t="s">
        <v>161</v>
      </c>
      <c r="B32" s="13" t="s">
        <v>35</v>
      </c>
      <c r="C32" s="10" t="str">
        <f aca="false">IFERROR(INDEX('Thành viên'!$B$6:$B$10,MATCH($B32,'Thành viên'!$A$6:$A$10,0))&amp;"","")</f>
        <v/>
      </c>
      <c r="D32" s="10" t="s">
        <v>162</v>
      </c>
      <c r="E32" s="10" t="s">
        <v>163</v>
      </c>
      <c r="F32" s="10" t="s">
        <v>164</v>
      </c>
      <c r="G32" s="10" t="s">
        <v>165</v>
      </c>
      <c r="H32" s="10" t="s">
        <v>40</v>
      </c>
      <c r="I32" s="9" t="s">
        <v>76</v>
      </c>
      <c r="J32" s="9"/>
    </row>
    <row r="33" customFormat="false" ht="15" hidden="false" customHeight="false" outlineLevel="0" collapsed="false">
      <c r="A33" s="10" t="s">
        <v>166</v>
      </c>
      <c r="B33" s="13" t="s">
        <v>35</v>
      </c>
      <c r="C33" s="10" t="str">
        <f aca="false">IFERROR(INDEX('Thành viên'!$B$6:$B$10,MATCH($B33,'Thành viên'!$A$6:$A$10,0))&amp;"","")</f>
        <v/>
      </c>
      <c r="D33" s="10" t="s">
        <v>162</v>
      </c>
      <c r="E33" s="10" t="s">
        <v>167</v>
      </c>
      <c r="F33" s="10" t="s">
        <v>164</v>
      </c>
      <c r="G33" s="10" t="s">
        <v>168</v>
      </c>
      <c r="H33" s="10" t="s">
        <v>40</v>
      </c>
      <c r="I33" s="9" t="s">
        <v>76</v>
      </c>
      <c r="J33" s="9"/>
    </row>
    <row r="34" customFormat="false" ht="15" hidden="false" customHeight="false" outlineLevel="0" collapsed="false">
      <c r="A34" s="10" t="s">
        <v>169</v>
      </c>
      <c r="B34" s="13" t="s">
        <v>35</v>
      </c>
      <c r="C34" s="10" t="str">
        <f aca="false">IFERROR(INDEX('Thành viên'!$B$6:$B$10,MATCH($B34,'Thành viên'!$A$6:$A$10,0))&amp;"","")</f>
        <v/>
      </c>
      <c r="D34" s="10" t="s">
        <v>162</v>
      </c>
      <c r="E34" s="10" t="s">
        <v>170</v>
      </c>
      <c r="F34" s="10" t="s">
        <v>171</v>
      </c>
      <c r="G34" s="10" t="s">
        <v>172</v>
      </c>
      <c r="H34" s="10" t="s">
        <v>40</v>
      </c>
      <c r="I34" s="9" t="s">
        <v>76</v>
      </c>
      <c r="J34" s="9"/>
    </row>
    <row r="35" customFormat="false" ht="15" hidden="false" customHeight="false" outlineLevel="0" collapsed="false">
      <c r="A35" s="10" t="s">
        <v>173</v>
      </c>
      <c r="B35" s="13" t="s">
        <v>35</v>
      </c>
      <c r="C35" s="10" t="str">
        <f aca="false">IFERROR(INDEX('Thành viên'!$B$6:$B$10,MATCH($B35,'Thành viên'!$A$6:$A$10,0))&amp;"","")</f>
        <v/>
      </c>
      <c r="D35" s="10" t="s">
        <v>162</v>
      </c>
      <c r="E35" s="10" t="s">
        <v>174</v>
      </c>
      <c r="F35" s="10" t="s">
        <v>164</v>
      </c>
      <c r="G35" s="10" t="s">
        <v>175</v>
      </c>
      <c r="H35" s="10" t="s">
        <v>40</v>
      </c>
      <c r="I35" s="9" t="s">
        <v>76</v>
      </c>
      <c r="J35" s="9"/>
    </row>
    <row r="36" customFormat="false" ht="15" hidden="false" customHeight="false" outlineLevel="0" collapsed="false">
      <c r="A36" s="10" t="s">
        <v>176</v>
      </c>
      <c r="B36" s="13" t="s">
        <v>35</v>
      </c>
      <c r="C36" s="10" t="str">
        <f aca="false">IFERROR(INDEX('Thành viên'!$B$6:$B$10,MATCH($B36,'Thành viên'!$A$6:$A$10,0))&amp;"","")</f>
        <v/>
      </c>
      <c r="D36" s="10" t="s">
        <v>162</v>
      </c>
      <c r="E36" s="10" t="s">
        <v>177</v>
      </c>
      <c r="F36" s="10" t="s">
        <v>178</v>
      </c>
      <c r="G36" s="10" t="s">
        <v>179</v>
      </c>
      <c r="H36" s="10" t="s">
        <v>40</v>
      </c>
      <c r="I36" s="9" t="s">
        <v>76</v>
      </c>
      <c r="J36" s="9"/>
    </row>
    <row r="37" customFormat="false" ht="15" hidden="false" customHeight="false" outlineLevel="0" collapsed="false">
      <c r="A37" s="10" t="s">
        <v>180</v>
      </c>
      <c r="B37" s="14" t="s">
        <v>40</v>
      </c>
      <c r="C37" s="10" t="str">
        <f aca="false">IFERROR(INDEX('Thành viên'!$B$6:$B$10,MATCH($B37,'Thành viên'!$A$6:$A$10,0))&amp;"","")</f>
        <v/>
      </c>
      <c r="D37" s="10" t="s">
        <v>181</v>
      </c>
      <c r="E37" s="10" t="s">
        <v>182</v>
      </c>
      <c r="F37" s="10" t="s">
        <v>183</v>
      </c>
      <c r="G37" s="10" t="s">
        <v>184</v>
      </c>
      <c r="H37" s="10" t="s">
        <v>32</v>
      </c>
      <c r="I37" s="9" t="s">
        <v>76</v>
      </c>
      <c r="J37" s="9"/>
    </row>
    <row r="38" customFormat="false" ht="15" hidden="false" customHeight="false" outlineLevel="0" collapsed="false">
      <c r="A38" s="10" t="s">
        <v>185</v>
      </c>
      <c r="B38" s="14" t="s">
        <v>40</v>
      </c>
      <c r="C38" s="10" t="str">
        <f aca="false">IFERROR(INDEX('Thành viên'!$B$6:$B$10,MATCH($B38,'Thành viên'!$A$6:$A$10,0))&amp;"","")</f>
        <v/>
      </c>
      <c r="D38" s="10" t="s">
        <v>186</v>
      </c>
      <c r="E38" s="10" t="s">
        <v>187</v>
      </c>
      <c r="F38" s="10" t="s">
        <v>188</v>
      </c>
      <c r="G38" s="10" t="s">
        <v>189</v>
      </c>
      <c r="H38" s="10" t="s">
        <v>32</v>
      </c>
      <c r="I38" s="9" t="s">
        <v>76</v>
      </c>
      <c r="J38" s="9"/>
    </row>
    <row r="39" customFormat="false" ht="15" hidden="false" customHeight="false" outlineLevel="0" collapsed="false">
      <c r="A39" s="10" t="s">
        <v>190</v>
      </c>
      <c r="B39" s="14" t="s">
        <v>40</v>
      </c>
      <c r="C39" s="10" t="str">
        <f aca="false">IFERROR(INDEX('Thành viên'!$B$6:$B$10,MATCH($B39,'Thành viên'!$A$6:$A$10,0))&amp;"","")</f>
        <v/>
      </c>
      <c r="D39" s="10" t="s">
        <v>191</v>
      </c>
      <c r="E39" s="10" t="s">
        <v>192</v>
      </c>
      <c r="F39" s="10" t="s">
        <v>193</v>
      </c>
      <c r="G39" s="10" t="s">
        <v>194</v>
      </c>
      <c r="H39" s="10" t="s">
        <v>32</v>
      </c>
      <c r="I39" s="9" t="s">
        <v>76</v>
      </c>
      <c r="J39" s="9"/>
    </row>
    <row r="40" customFormat="false" ht="15" hidden="false" customHeight="false" outlineLevel="0" collapsed="false">
      <c r="A40" s="10" t="s">
        <v>195</v>
      </c>
      <c r="B40" s="14" t="s">
        <v>40</v>
      </c>
      <c r="C40" s="10" t="str">
        <f aca="false">IFERROR(INDEX('Thành viên'!$B$6:$B$10,MATCH($B40,'Thành viên'!$A$6:$A$10,0))&amp;"","")</f>
        <v/>
      </c>
      <c r="D40" s="10" t="s">
        <v>196</v>
      </c>
      <c r="E40" s="10" t="s">
        <v>197</v>
      </c>
      <c r="F40" s="10" t="s">
        <v>193</v>
      </c>
      <c r="G40" s="10" t="s">
        <v>198</v>
      </c>
      <c r="H40" s="10" t="s">
        <v>32</v>
      </c>
      <c r="I40" s="9" t="s">
        <v>76</v>
      </c>
      <c r="J40" s="9"/>
    </row>
    <row r="41" customFormat="false" ht="15" hidden="false" customHeight="false" outlineLevel="0" collapsed="false">
      <c r="A41" s="10" t="s">
        <v>199</v>
      </c>
      <c r="B41" s="14" t="s">
        <v>40</v>
      </c>
      <c r="C41" s="10" t="str">
        <f aca="false">IFERROR(INDEX('Thành viên'!$B$6:$B$10,MATCH($B41,'Thành viên'!$A$6:$A$10,0))&amp;"","")</f>
        <v/>
      </c>
      <c r="D41" s="10" t="s">
        <v>200</v>
      </c>
      <c r="E41" s="10" t="s">
        <v>201</v>
      </c>
      <c r="F41" s="10" t="s">
        <v>202</v>
      </c>
      <c r="G41" s="10" t="s">
        <v>203</v>
      </c>
      <c r="H41" s="10" t="s">
        <v>32</v>
      </c>
      <c r="I41" s="9" t="s">
        <v>76</v>
      </c>
      <c r="J41" s="9"/>
    </row>
    <row r="42" customFormat="false" ht="15" hidden="false" customHeight="false" outlineLevel="0" collapsed="false">
      <c r="A42" s="10" t="s">
        <v>204</v>
      </c>
      <c r="B42" s="14" t="s">
        <v>40</v>
      </c>
      <c r="C42" s="10" t="str">
        <f aca="false">IFERROR(INDEX('Thành viên'!$B$6:$B$10,MATCH($B42,'Thành viên'!$A$6:$A$10,0))&amp;"","")</f>
        <v/>
      </c>
      <c r="D42" s="10" t="s">
        <v>108</v>
      </c>
      <c r="E42" s="10" t="s">
        <v>205</v>
      </c>
      <c r="F42" s="10" t="s">
        <v>134</v>
      </c>
      <c r="G42" s="10" t="s">
        <v>206</v>
      </c>
      <c r="H42" s="10" t="s">
        <v>32</v>
      </c>
      <c r="I42" s="9" t="s">
        <v>76</v>
      </c>
      <c r="J42" s="9"/>
    </row>
    <row r="43" customFormat="false" ht="15" hidden="false" customHeight="false" outlineLevel="0" collapsed="false">
      <c r="A43" s="10" t="s">
        <v>207</v>
      </c>
      <c r="B43" s="14" t="s">
        <v>40</v>
      </c>
      <c r="C43" s="10" t="str">
        <f aca="false">IFERROR(INDEX('Thành viên'!$B$6:$B$10,MATCH($B43,'Thành viên'!$A$6:$A$10,0))&amp;"","")</f>
        <v/>
      </c>
      <c r="D43" s="10" t="s">
        <v>103</v>
      </c>
      <c r="E43" s="10" t="s">
        <v>208</v>
      </c>
      <c r="F43" s="10" t="s">
        <v>209</v>
      </c>
      <c r="G43" s="10" t="s">
        <v>106</v>
      </c>
      <c r="H43" s="10" t="s">
        <v>32</v>
      </c>
      <c r="I43" s="9" t="s">
        <v>76</v>
      </c>
      <c r="J43" s="9"/>
    </row>
  </sheetData>
  <autoFilter ref="A4:J43"/>
  <mergeCells count="1">
    <mergeCell ref="A2:J2"/>
  </mergeCells>
  <dataValidations count="2">
    <dataValidation allowBlank="false" errorStyle="stop" operator="between" showDropDown="false" showErrorMessage="false" showInputMessage="false" sqref="I5:I43" type="list">
      <formula1>"Chưa đọc,Đang học,Đã nắm"</formula1>
      <formula2>0</formula2>
    </dataValidation>
    <dataValidation allowBlank="false" errorStyle="stop" operator="between" showDropDown="false" showErrorMessage="false" showInputMessage="false" sqref="B5:B43" type="list">
      <formula1>"TV1,TV2,TV3,TV4,TV5"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9AB8A6"/>
    <pageSetUpPr fitToPage="false"/>
  </sheetPr>
  <dimension ref="A1:G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xSplit="0" ySplit="4" topLeftCell="A5" activePane="bottomLeft" state="frozen"/>
      <selection pane="bottomLeft" activeCell="A5" sqref="A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2"/>
    <col collapsed="false" customWidth="true" hidden="false" outlineLevel="0" max="3" min="3" style="0" width="70"/>
    <col collapsed="false" customWidth="true" hidden="false" outlineLevel="0" max="4" min="4" style="0" width="7"/>
    <col collapsed="false" customWidth="true" hidden="false" outlineLevel="0" max="5" min="5" style="0" width="22"/>
    <col collapsed="false" customWidth="true" hidden="false" outlineLevel="0" max="6" min="6" style="0" width="26"/>
  </cols>
  <sheetData>
    <row r="1" customFormat="false" ht="15" hidden="false" customHeight="false" outlineLevel="0" collapsed="false">
      <c r="A1" s="4" t="s">
        <v>210</v>
      </c>
    </row>
    <row r="2" customFormat="false" ht="30" hidden="false" customHeight="true" outlineLevel="0" collapsed="false">
      <c r="A2" s="5" t="s">
        <v>211</v>
      </c>
      <c r="B2" s="5"/>
      <c r="C2" s="5"/>
      <c r="D2" s="5"/>
      <c r="E2" s="5"/>
      <c r="F2" s="5"/>
      <c r="G2" s="5"/>
    </row>
    <row r="4" customFormat="false" ht="15" hidden="false" customHeight="false" outlineLevel="0" collapsed="false">
      <c r="A4" s="7" t="s">
        <v>212</v>
      </c>
      <c r="B4" s="7" t="s">
        <v>213</v>
      </c>
      <c r="C4" s="7" t="s">
        <v>214</v>
      </c>
      <c r="D4" s="7" t="s">
        <v>45</v>
      </c>
      <c r="E4" s="7" t="s">
        <v>22</v>
      </c>
      <c r="F4" s="7" t="s">
        <v>215</v>
      </c>
    </row>
    <row r="5" customFormat="false" ht="15" hidden="false" customHeight="false" outlineLevel="0" collapsed="false">
      <c r="A5" s="10" t="s">
        <v>49</v>
      </c>
      <c r="B5" s="10" t="s">
        <v>216</v>
      </c>
      <c r="C5" s="10" t="s">
        <v>217</v>
      </c>
      <c r="D5" s="11" t="s">
        <v>32</v>
      </c>
      <c r="E5" s="10" t="str">
        <f aca="false">IFERROR(INDEX('Thành viên'!$B$6:$B$10,MATCH($D5,'Thành viên'!$A$6:$A$10,0))&amp;"","")</f>
        <v/>
      </c>
      <c r="F5" s="10" t="s">
        <v>85</v>
      </c>
    </row>
    <row r="6" customFormat="false" ht="15" hidden="false" customHeight="false" outlineLevel="0" collapsed="false">
      <c r="A6" s="10" t="s">
        <v>49</v>
      </c>
      <c r="B6" s="10" t="s">
        <v>218</v>
      </c>
      <c r="C6" s="10" t="s">
        <v>219</v>
      </c>
      <c r="D6" s="11" t="s">
        <v>32</v>
      </c>
      <c r="E6" s="10" t="str">
        <f aca="false">IFERROR(INDEX('Thành viên'!$B$6:$B$10,MATCH($D6,'Thành viên'!$A$6:$A$10,0))&amp;"","")</f>
        <v/>
      </c>
      <c r="F6" s="10" t="s">
        <v>85</v>
      </c>
    </row>
    <row r="7" customFormat="false" ht="15" hidden="false" customHeight="false" outlineLevel="0" collapsed="false">
      <c r="A7" s="10" t="s">
        <v>49</v>
      </c>
      <c r="B7" s="10" t="s">
        <v>220</v>
      </c>
      <c r="C7" s="10" t="s">
        <v>221</v>
      </c>
      <c r="D7" s="11" t="s">
        <v>32</v>
      </c>
      <c r="E7" s="10" t="str">
        <f aca="false">IFERROR(INDEX('Thành viên'!$B$6:$B$10,MATCH($D7,'Thành viên'!$A$6:$A$10,0))&amp;"","")</f>
        <v/>
      </c>
      <c r="F7" s="10" t="s">
        <v>85</v>
      </c>
    </row>
    <row r="8" customFormat="false" ht="15" hidden="false" customHeight="false" outlineLevel="0" collapsed="false">
      <c r="A8" s="10" t="s">
        <v>49</v>
      </c>
      <c r="B8" s="10" t="s">
        <v>222</v>
      </c>
      <c r="C8" s="10" t="s">
        <v>223</v>
      </c>
      <c r="D8" s="11" t="s">
        <v>32</v>
      </c>
      <c r="E8" s="10" t="str">
        <f aca="false">IFERROR(INDEX('Thành viên'!$B$6:$B$10,MATCH($D8,'Thành viên'!$A$6:$A$10,0))&amp;"","")</f>
        <v/>
      </c>
      <c r="F8" s="10" t="s">
        <v>85</v>
      </c>
    </row>
    <row r="9" customFormat="false" ht="15" hidden="false" customHeight="false" outlineLevel="0" collapsed="false">
      <c r="A9" s="10" t="s">
        <v>49</v>
      </c>
      <c r="B9" s="10" t="s">
        <v>224</v>
      </c>
      <c r="C9" s="10" t="s">
        <v>225</v>
      </c>
      <c r="D9" s="11" t="s">
        <v>32</v>
      </c>
      <c r="E9" s="10" t="str">
        <f aca="false">IFERROR(INDEX('Thành viên'!$B$6:$B$10,MATCH($D9,'Thành viên'!$A$6:$A$10,0))&amp;"","")</f>
        <v/>
      </c>
      <c r="F9" s="10" t="s">
        <v>85</v>
      </c>
    </row>
    <row r="10" customFormat="false" ht="15" hidden="false" customHeight="false" outlineLevel="0" collapsed="false">
      <c r="A10" s="10" t="s">
        <v>49</v>
      </c>
      <c r="B10" s="10" t="s">
        <v>226</v>
      </c>
      <c r="C10" s="10" t="s">
        <v>227</v>
      </c>
      <c r="D10" s="11" t="s">
        <v>32</v>
      </c>
      <c r="E10" s="10" t="str">
        <f aca="false">IFERROR(INDEX('Thành viên'!$B$6:$B$10,MATCH($D10,'Thành viên'!$A$6:$A$10,0))&amp;"","")</f>
        <v/>
      </c>
      <c r="F10" s="10" t="s">
        <v>85</v>
      </c>
    </row>
    <row r="11" customFormat="false" ht="15" hidden="false" customHeight="false" outlineLevel="0" collapsed="false">
      <c r="A11" s="10" t="s">
        <v>49</v>
      </c>
      <c r="B11" s="10" t="s">
        <v>228</v>
      </c>
      <c r="C11" s="10" t="s">
        <v>229</v>
      </c>
      <c r="D11" s="8" t="s">
        <v>28</v>
      </c>
      <c r="E11" s="10" t="str">
        <f aca="false">IFERROR(INDEX('Thành viên'!$B$6:$B$10,MATCH($D11,'Thành viên'!$A$6:$A$10,0))&amp;"","")</f>
        <v/>
      </c>
      <c r="F11" s="10" t="s">
        <v>85</v>
      </c>
    </row>
    <row r="12" customFormat="false" ht="15" hidden="false" customHeight="false" outlineLevel="0" collapsed="false">
      <c r="A12" s="10" t="s">
        <v>49</v>
      </c>
      <c r="B12" s="10" t="s">
        <v>230</v>
      </c>
      <c r="C12" s="10" t="s">
        <v>231</v>
      </c>
      <c r="D12" s="12" t="s">
        <v>31</v>
      </c>
      <c r="E12" s="10" t="str">
        <f aca="false">IFERROR(INDEX('Thành viên'!$B$6:$B$10,MATCH($D12,'Thành viên'!$A$6:$A$10,0))&amp;"","")</f>
        <v/>
      </c>
      <c r="F12" s="10" t="s">
        <v>85</v>
      </c>
    </row>
    <row r="13" customFormat="false" ht="15" hidden="false" customHeight="false" outlineLevel="0" collapsed="false">
      <c r="A13" s="10" t="s">
        <v>49</v>
      </c>
      <c r="B13" s="10" t="s">
        <v>232</v>
      </c>
      <c r="C13" s="10" t="s">
        <v>233</v>
      </c>
      <c r="D13" s="8" t="s">
        <v>28</v>
      </c>
      <c r="E13" s="10" t="str">
        <f aca="false">IFERROR(INDEX('Thành viên'!$B$6:$B$10,MATCH($D13,'Thành viên'!$A$6:$A$10,0))&amp;"","")</f>
        <v/>
      </c>
      <c r="F13" s="10" t="s">
        <v>85</v>
      </c>
    </row>
    <row r="14" customFormat="false" ht="15" hidden="false" customHeight="false" outlineLevel="0" collapsed="false">
      <c r="A14" s="10" t="s">
        <v>49</v>
      </c>
      <c r="B14" s="10" t="s">
        <v>234</v>
      </c>
      <c r="C14" s="10" t="s">
        <v>235</v>
      </c>
      <c r="D14" s="8" t="s">
        <v>28</v>
      </c>
      <c r="E14" s="10" t="str">
        <f aca="false">IFERROR(INDEX('Thành viên'!$B$6:$B$10,MATCH($D14,'Thành viên'!$A$6:$A$10,0))&amp;"","")</f>
        <v/>
      </c>
      <c r="F14" s="10" t="s">
        <v>85</v>
      </c>
    </row>
    <row r="15" customFormat="false" ht="15" hidden="false" customHeight="false" outlineLevel="0" collapsed="false">
      <c r="A15" s="10" t="s">
        <v>49</v>
      </c>
      <c r="B15" s="10" t="s">
        <v>236</v>
      </c>
      <c r="C15" s="10" t="s">
        <v>237</v>
      </c>
      <c r="D15" s="8" t="s">
        <v>28</v>
      </c>
      <c r="E15" s="10" t="str">
        <f aca="false">IFERROR(INDEX('Thành viên'!$B$6:$B$10,MATCH($D15,'Thành viên'!$A$6:$A$10,0))&amp;"","")</f>
        <v/>
      </c>
      <c r="F15" s="10" t="s">
        <v>85</v>
      </c>
    </row>
    <row r="16" customFormat="false" ht="15" hidden="false" customHeight="false" outlineLevel="0" collapsed="false">
      <c r="A16" s="10" t="s">
        <v>49</v>
      </c>
      <c r="B16" s="10" t="s">
        <v>238</v>
      </c>
      <c r="C16" s="10" t="s">
        <v>239</v>
      </c>
      <c r="D16" s="8" t="s">
        <v>28</v>
      </c>
      <c r="E16" s="10" t="str">
        <f aca="false">IFERROR(INDEX('Thành viên'!$B$6:$B$10,MATCH($D16,'Thành viên'!$A$6:$A$10,0))&amp;"","")</f>
        <v/>
      </c>
      <c r="F16" s="10" t="s">
        <v>85</v>
      </c>
    </row>
    <row r="17" customFormat="false" ht="15" hidden="false" customHeight="false" outlineLevel="0" collapsed="false">
      <c r="A17" s="10" t="s">
        <v>49</v>
      </c>
      <c r="B17" s="10" t="s">
        <v>240</v>
      </c>
      <c r="C17" s="10" t="s">
        <v>241</v>
      </c>
      <c r="D17" s="8" t="s">
        <v>28</v>
      </c>
      <c r="E17" s="10" t="str">
        <f aca="false">IFERROR(INDEX('Thành viên'!$B$6:$B$10,MATCH($D17,'Thành viên'!$A$6:$A$10,0))&amp;"","")</f>
        <v/>
      </c>
      <c r="F17" s="10" t="s">
        <v>85</v>
      </c>
    </row>
    <row r="18" customFormat="false" ht="15" hidden="false" customHeight="false" outlineLevel="0" collapsed="false">
      <c r="A18" s="10" t="s">
        <v>49</v>
      </c>
      <c r="B18" s="10" t="s">
        <v>242</v>
      </c>
      <c r="C18" s="10" t="s">
        <v>243</v>
      </c>
      <c r="D18" s="8" t="s">
        <v>28</v>
      </c>
      <c r="E18" s="10" t="str">
        <f aca="false">IFERROR(INDEX('Thành viên'!$B$6:$B$10,MATCH($D18,'Thành viên'!$A$6:$A$10,0))&amp;"","")</f>
        <v/>
      </c>
      <c r="F18" s="10" t="s">
        <v>85</v>
      </c>
    </row>
    <row r="19" customFormat="false" ht="15" hidden="false" customHeight="false" outlineLevel="0" collapsed="false">
      <c r="A19" s="10" t="s">
        <v>49</v>
      </c>
      <c r="B19" s="10" t="s">
        <v>244</v>
      </c>
      <c r="C19" s="10" t="s">
        <v>245</v>
      </c>
      <c r="D19" s="8" t="s">
        <v>28</v>
      </c>
      <c r="E19" s="10" t="str">
        <f aca="false">IFERROR(INDEX('Thành viên'!$B$6:$B$10,MATCH($D19,'Thành viên'!$A$6:$A$10,0))&amp;"","")</f>
        <v/>
      </c>
      <c r="F19" s="10" t="s">
        <v>85</v>
      </c>
    </row>
    <row r="20" customFormat="false" ht="15" hidden="false" customHeight="false" outlineLevel="0" collapsed="false">
      <c r="A20" s="10" t="s">
        <v>49</v>
      </c>
      <c r="B20" s="10" t="s">
        <v>246</v>
      </c>
      <c r="C20" s="10" t="s">
        <v>247</v>
      </c>
      <c r="D20" s="12" t="s">
        <v>31</v>
      </c>
      <c r="E20" s="10" t="str">
        <f aca="false">IFERROR(INDEX('Thành viên'!$B$6:$B$10,MATCH($D20,'Thành viên'!$A$6:$A$10,0))&amp;"","")</f>
        <v/>
      </c>
      <c r="F20" s="10" t="s">
        <v>85</v>
      </c>
    </row>
    <row r="21" customFormat="false" ht="15" hidden="false" customHeight="false" outlineLevel="0" collapsed="false">
      <c r="A21" s="10" t="s">
        <v>49</v>
      </c>
      <c r="B21" s="10" t="s">
        <v>248</v>
      </c>
      <c r="C21" s="10" t="s">
        <v>249</v>
      </c>
      <c r="D21" s="12" t="s">
        <v>31</v>
      </c>
      <c r="E21" s="10" t="str">
        <f aca="false">IFERROR(INDEX('Thành viên'!$B$6:$B$10,MATCH($D21,'Thành viên'!$A$6:$A$10,0))&amp;"","")</f>
        <v/>
      </c>
      <c r="F21" s="10" t="s">
        <v>85</v>
      </c>
    </row>
    <row r="22" customFormat="false" ht="15" hidden="false" customHeight="false" outlineLevel="0" collapsed="false">
      <c r="A22" s="10" t="s">
        <v>49</v>
      </c>
      <c r="B22" s="10" t="s">
        <v>250</v>
      </c>
      <c r="C22" s="10" t="s">
        <v>251</v>
      </c>
      <c r="D22" s="12" t="s">
        <v>31</v>
      </c>
      <c r="E22" s="10" t="str">
        <f aca="false">IFERROR(INDEX('Thành viên'!$B$6:$B$10,MATCH($D22,'Thành viên'!$A$6:$A$10,0))&amp;"","")</f>
        <v/>
      </c>
      <c r="F22" s="10" t="s">
        <v>85</v>
      </c>
    </row>
    <row r="23" customFormat="false" ht="15" hidden="false" customHeight="false" outlineLevel="0" collapsed="false">
      <c r="A23" s="10" t="s">
        <v>49</v>
      </c>
      <c r="B23" s="10" t="s">
        <v>252</v>
      </c>
      <c r="C23" s="10" t="s">
        <v>253</v>
      </c>
      <c r="D23" s="12" t="s">
        <v>31</v>
      </c>
      <c r="E23" s="10" t="str">
        <f aca="false">IFERROR(INDEX('Thành viên'!$B$6:$B$10,MATCH($D23,'Thành viên'!$A$6:$A$10,0))&amp;"","")</f>
        <v/>
      </c>
      <c r="F23" s="10" t="s">
        <v>85</v>
      </c>
    </row>
    <row r="24" customFormat="false" ht="15" hidden="false" customHeight="false" outlineLevel="0" collapsed="false">
      <c r="A24" s="10" t="s">
        <v>49</v>
      </c>
      <c r="B24" s="10" t="s">
        <v>254</v>
      </c>
      <c r="C24" s="10" t="s">
        <v>255</v>
      </c>
      <c r="D24" s="12" t="s">
        <v>31</v>
      </c>
      <c r="E24" s="10" t="str">
        <f aca="false">IFERROR(INDEX('Thành viên'!$B$6:$B$10,MATCH($D24,'Thành viên'!$A$6:$A$10,0))&amp;"","")</f>
        <v/>
      </c>
      <c r="F24" s="10" t="s">
        <v>85</v>
      </c>
    </row>
    <row r="25" customFormat="false" ht="15" hidden="false" customHeight="false" outlineLevel="0" collapsed="false">
      <c r="A25" s="10" t="s">
        <v>49</v>
      </c>
      <c r="B25" s="10" t="s">
        <v>256</v>
      </c>
      <c r="C25" s="10" t="s">
        <v>257</v>
      </c>
      <c r="D25" s="13" t="s">
        <v>35</v>
      </c>
      <c r="E25" s="10" t="str">
        <f aca="false">IFERROR(INDEX('Thành viên'!$B$6:$B$10,MATCH($D25,'Thành viên'!$A$6:$A$10,0))&amp;"","")</f>
        <v/>
      </c>
      <c r="F25" s="10" t="s">
        <v>85</v>
      </c>
    </row>
    <row r="26" customFormat="false" ht="15" hidden="false" customHeight="false" outlineLevel="0" collapsed="false">
      <c r="A26" s="10" t="s">
        <v>49</v>
      </c>
      <c r="B26" s="10" t="s">
        <v>258</v>
      </c>
      <c r="C26" s="10" t="s">
        <v>259</v>
      </c>
      <c r="D26" s="13" t="s">
        <v>35</v>
      </c>
      <c r="E26" s="10" t="str">
        <f aca="false">IFERROR(INDEX('Thành viên'!$B$6:$B$10,MATCH($D26,'Thành viên'!$A$6:$A$10,0))&amp;"","")</f>
        <v/>
      </c>
      <c r="F26" s="10" t="s">
        <v>85</v>
      </c>
    </row>
    <row r="27" customFormat="false" ht="15" hidden="false" customHeight="false" outlineLevel="0" collapsed="false">
      <c r="A27" s="10" t="s">
        <v>49</v>
      </c>
      <c r="B27" s="10" t="s">
        <v>260</v>
      </c>
      <c r="C27" s="10" t="s">
        <v>261</v>
      </c>
      <c r="D27" s="13" t="s">
        <v>35</v>
      </c>
      <c r="E27" s="10" t="str">
        <f aca="false">IFERROR(INDEX('Thành viên'!$B$6:$B$10,MATCH($D27,'Thành viên'!$A$6:$A$10,0))&amp;"","")</f>
        <v/>
      </c>
      <c r="F27" s="10" t="s">
        <v>85</v>
      </c>
    </row>
    <row r="28" customFormat="false" ht="15" hidden="false" customHeight="false" outlineLevel="0" collapsed="false">
      <c r="A28" s="10" t="s">
        <v>50</v>
      </c>
      <c r="B28" s="10" t="s">
        <v>262</v>
      </c>
      <c r="C28" s="10" t="s">
        <v>263</v>
      </c>
      <c r="D28" s="12" t="s">
        <v>31</v>
      </c>
      <c r="E28" s="10" t="str">
        <f aca="false">IFERROR(INDEX('Thành viên'!$B$6:$B$10,MATCH($D28,'Thành viên'!$A$6:$A$10,0))&amp;"","")</f>
        <v/>
      </c>
      <c r="F28" s="10" t="s">
        <v>93</v>
      </c>
    </row>
    <row r="29" customFormat="false" ht="15" hidden="false" customHeight="false" outlineLevel="0" collapsed="false">
      <c r="A29" s="10" t="s">
        <v>50</v>
      </c>
      <c r="B29" s="10" t="s">
        <v>264</v>
      </c>
      <c r="C29" s="10" t="s">
        <v>265</v>
      </c>
      <c r="D29" s="12" t="s">
        <v>31</v>
      </c>
      <c r="E29" s="10" t="str">
        <f aca="false">IFERROR(INDEX('Thành viên'!$B$6:$B$10,MATCH($D29,'Thành viên'!$A$6:$A$10,0))&amp;"","")</f>
        <v/>
      </c>
      <c r="F29" s="10" t="s">
        <v>93</v>
      </c>
    </row>
    <row r="30" customFormat="false" ht="15" hidden="false" customHeight="false" outlineLevel="0" collapsed="false">
      <c r="A30" s="10" t="s">
        <v>50</v>
      </c>
      <c r="B30" s="10" t="s">
        <v>266</v>
      </c>
      <c r="C30" s="10" t="s">
        <v>267</v>
      </c>
      <c r="D30" s="12" t="s">
        <v>31</v>
      </c>
      <c r="E30" s="10" t="str">
        <f aca="false">IFERROR(INDEX('Thành viên'!$B$6:$B$10,MATCH($D30,'Thành viên'!$A$6:$A$10,0))&amp;"","")</f>
        <v/>
      </c>
      <c r="F30" s="10" t="s">
        <v>93</v>
      </c>
    </row>
    <row r="31" customFormat="false" ht="15" hidden="false" customHeight="false" outlineLevel="0" collapsed="false">
      <c r="A31" s="10" t="s">
        <v>50</v>
      </c>
      <c r="B31" s="10" t="s">
        <v>268</v>
      </c>
      <c r="C31" s="10" t="s">
        <v>269</v>
      </c>
      <c r="D31" s="12" t="s">
        <v>31</v>
      </c>
      <c r="E31" s="10" t="str">
        <f aca="false">IFERROR(INDEX('Thành viên'!$B$6:$B$10,MATCH($D31,'Thành viên'!$A$6:$A$10,0))&amp;"","")</f>
        <v/>
      </c>
      <c r="F31" s="10" t="s">
        <v>93</v>
      </c>
    </row>
    <row r="32" customFormat="false" ht="15" hidden="false" customHeight="false" outlineLevel="0" collapsed="false">
      <c r="A32" s="10" t="s">
        <v>50</v>
      </c>
      <c r="B32" s="10" t="s">
        <v>270</v>
      </c>
      <c r="C32" s="10" t="s">
        <v>271</v>
      </c>
      <c r="D32" s="12" t="s">
        <v>31</v>
      </c>
      <c r="E32" s="10" t="str">
        <f aca="false">IFERROR(INDEX('Thành viên'!$B$6:$B$10,MATCH($D32,'Thành viên'!$A$6:$A$10,0))&amp;"","")</f>
        <v/>
      </c>
      <c r="F32" s="10" t="s">
        <v>93</v>
      </c>
    </row>
    <row r="33" customFormat="false" ht="15" hidden="false" customHeight="false" outlineLevel="0" collapsed="false">
      <c r="A33" s="10" t="s">
        <v>50</v>
      </c>
      <c r="B33" s="10" t="s">
        <v>272</v>
      </c>
      <c r="C33" s="10" t="s">
        <v>273</v>
      </c>
      <c r="D33" s="12" t="s">
        <v>31</v>
      </c>
      <c r="E33" s="10" t="str">
        <f aca="false">IFERROR(INDEX('Thành viên'!$B$6:$B$10,MATCH($D33,'Thành viên'!$A$6:$A$10,0))&amp;"","")</f>
        <v/>
      </c>
      <c r="F33" s="10" t="s">
        <v>93</v>
      </c>
    </row>
    <row r="34" customFormat="false" ht="15" hidden="false" customHeight="false" outlineLevel="0" collapsed="false">
      <c r="A34" s="10" t="s">
        <v>50</v>
      </c>
      <c r="B34" s="10" t="s">
        <v>274</v>
      </c>
      <c r="C34" s="10" t="s">
        <v>275</v>
      </c>
      <c r="D34" s="8" t="s">
        <v>28</v>
      </c>
      <c r="E34" s="10" t="str">
        <f aca="false">IFERROR(INDEX('Thành viên'!$B$6:$B$10,MATCH($D34,'Thành viên'!$A$6:$A$10,0))&amp;"","")</f>
        <v/>
      </c>
      <c r="F34" s="10" t="s">
        <v>93</v>
      </c>
    </row>
    <row r="35" customFormat="false" ht="15" hidden="false" customHeight="false" outlineLevel="0" collapsed="false">
      <c r="A35" s="10" t="s">
        <v>50</v>
      </c>
      <c r="B35" s="10" t="s">
        <v>276</v>
      </c>
      <c r="C35" s="10" t="s">
        <v>277</v>
      </c>
      <c r="D35" s="8" t="s">
        <v>28</v>
      </c>
      <c r="E35" s="10" t="str">
        <f aca="false">IFERROR(INDEX('Thành viên'!$B$6:$B$10,MATCH($D35,'Thành viên'!$A$6:$A$10,0))&amp;"","")</f>
        <v/>
      </c>
      <c r="F35" s="10" t="s">
        <v>93</v>
      </c>
    </row>
    <row r="36" customFormat="false" ht="15" hidden="false" customHeight="false" outlineLevel="0" collapsed="false">
      <c r="A36" s="10" t="s">
        <v>50</v>
      </c>
      <c r="B36" s="10" t="s">
        <v>278</v>
      </c>
      <c r="C36" s="10" t="s">
        <v>279</v>
      </c>
      <c r="D36" s="8" t="s">
        <v>28</v>
      </c>
      <c r="E36" s="10" t="str">
        <f aca="false">IFERROR(INDEX('Thành viên'!$B$6:$B$10,MATCH($D36,'Thành viên'!$A$6:$A$10,0))&amp;"","")</f>
        <v/>
      </c>
      <c r="F36" s="10" t="s">
        <v>93</v>
      </c>
    </row>
    <row r="37" customFormat="false" ht="15" hidden="false" customHeight="false" outlineLevel="0" collapsed="false">
      <c r="A37" s="10" t="s">
        <v>50</v>
      </c>
      <c r="B37" s="10" t="s">
        <v>280</v>
      </c>
      <c r="C37" s="10" t="s">
        <v>281</v>
      </c>
      <c r="D37" s="8" t="s">
        <v>28</v>
      </c>
      <c r="E37" s="10" t="str">
        <f aca="false">IFERROR(INDEX('Thành viên'!$B$6:$B$10,MATCH($D37,'Thành viên'!$A$6:$A$10,0))&amp;"","")</f>
        <v/>
      </c>
      <c r="F37" s="10" t="s">
        <v>93</v>
      </c>
    </row>
    <row r="38" customFormat="false" ht="15" hidden="false" customHeight="false" outlineLevel="0" collapsed="false">
      <c r="A38" s="10" t="s">
        <v>50</v>
      </c>
      <c r="B38" s="10" t="s">
        <v>282</v>
      </c>
      <c r="C38" s="10" t="s">
        <v>283</v>
      </c>
      <c r="D38" s="8" t="s">
        <v>28</v>
      </c>
      <c r="E38" s="10" t="str">
        <f aca="false">IFERROR(INDEX('Thành viên'!$B$6:$B$10,MATCH($D38,'Thành viên'!$A$6:$A$10,0))&amp;"","")</f>
        <v/>
      </c>
      <c r="F38" s="10" t="s">
        <v>93</v>
      </c>
    </row>
    <row r="39" customFormat="false" ht="15" hidden="false" customHeight="false" outlineLevel="0" collapsed="false">
      <c r="A39" s="10" t="s">
        <v>50</v>
      </c>
      <c r="B39" s="10" t="s">
        <v>284</v>
      </c>
      <c r="C39" s="10" t="s">
        <v>285</v>
      </c>
      <c r="D39" s="8" t="s">
        <v>28</v>
      </c>
      <c r="E39" s="10" t="str">
        <f aca="false">IFERROR(INDEX('Thành viên'!$B$6:$B$10,MATCH($D39,'Thành viên'!$A$6:$A$10,0))&amp;"","")</f>
        <v/>
      </c>
      <c r="F39" s="10" t="s">
        <v>93</v>
      </c>
    </row>
    <row r="40" customFormat="false" ht="15" hidden="false" customHeight="false" outlineLevel="0" collapsed="false">
      <c r="A40" s="10" t="s">
        <v>50</v>
      </c>
      <c r="B40" s="10" t="s">
        <v>286</v>
      </c>
      <c r="C40" s="10" t="s">
        <v>287</v>
      </c>
      <c r="D40" s="13" t="s">
        <v>35</v>
      </c>
      <c r="E40" s="10" t="str">
        <f aca="false">IFERROR(INDEX('Thành viên'!$B$6:$B$10,MATCH($D40,'Thành viên'!$A$6:$A$10,0))&amp;"","")</f>
        <v/>
      </c>
      <c r="F40" s="10" t="s">
        <v>93</v>
      </c>
    </row>
    <row r="41" customFormat="false" ht="15" hidden="false" customHeight="false" outlineLevel="0" collapsed="false">
      <c r="A41" s="10" t="s">
        <v>50</v>
      </c>
      <c r="B41" s="10" t="s">
        <v>288</v>
      </c>
      <c r="C41" s="10" t="s">
        <v>289</v>
      </c>
      <c r="D41" s="13" t="s">
        <v>35</v>
      </c>
      <c r="E41" s="10" t="str">
        <f aca="false">IFERROR(INDEX('Thành viên'!$B$6:$B$10,MATCH($D41,'Thành viên'!$A$6:$A$10,0))&amp;"","")</f>
        <v/>
      </c>
      <c r="F41" s="10" t="s">
        <v>93</v>
      </c>
    </row>
    <row r="42" customFormat="false" ht="15" hidden="false" customHeight="false" outlineLevel="0" collapsed="false">
      <c r="A42" s="10" t="s">
        <v>50</v>
      </c>
      <c r="B42" s="10" t="s">
        <v>290</v>
      </c>
      <c r="C42" s="10" t="s">
        <v>291</v>
      </c>
      <c r="D42" s="11" t="s">
        <v>32</v>
      </c>
      <c r="E42" s="10" t="str">
        <f aca="false">IFERROR(INDEX('Thành viên'!$B$6:$B$10,MATCH($D42,'Thành viên'!$A$6:$A$10,0))&amp;"","")</f>
        <v/>
      </c>
      <c r="F42" s="10" t="s">
        <v>93</v>
      </c>
    </row>
    <row r="43" customFormat="false" ht="15" hidden="false" customHeight="false" outlineLevel="0" collapsed="false">
      <c r="A43" s="10" t="s">
        <v>50</v>
      </c>
      <c r="B43" s="10" t="s">
        <v>292</v>
      </c>
      <c r="C43" s="10" t="s">
        <v>293</v>
      </c>
      <c r="D43" s="11" t="s">
        <v>32</v>
      </c>
      <c r="E43" s="10" t="str">
        <f aca="false">IFERROR(INDEX('Thành viên'!$B$6:$B$10,MATCH($D43,'Thành viên'!$A$6:$A$10,0))&amp;"","")</f>
        <v/>
      </c>
      <c r="F43" s="10" t="s">
        <v>93</v>
      </c>
    </row>
    <row r="44" customFormat="false" ht="15" hidden="false" customHeight="false" outlineLevel="0" collapsed="false">
      <c r="A44" s="10" t="s">
        <v>50</v>
      </c>
      <c r="B44" s="10" t="s">
        <v>294</v>
      </c>
      <c r="C44" s="10" t="s">
        <v>295</v>
      </c>
      <c r="D44" s="11" t="s">
        <v>32</v>
      </c>
      <c r="E44" s="10" t="str">
        <f aca="false">IFERROR(INDEX('Thành viên'!$B$6:$B$10,MATCH($D44,'Thành viên'!$A$6:$A$10,0))&amp;"","")</f>
        <v/>
      </c>
      <c r="F44" s="10" t="s">
        <v>93</v>
      </c>
    </row>
    <row r="45" customFormat="false" ht="15" hidden="false" customHeight="false" outlineLevel="0" collapsed="false">
      <c r="A45" s="10" t="s">
        <v>50</v>
      </c>
      <c r="B45" s="10" t="s">
        <v>296</v>
      </c>
      <c r="C45" s="10" t="s">
        <v>297</v>
      </c>
      <c r="D45" s="11" t="s">
        <v>32</v>
      </c>
      <c r="E45" s="10" t="str">
        <f aca="false">IFERROR(INDEX('Thành viên'!$B$6:$B$10,MATCH($D45,'Thành viên'!$A$6:$A$10,0))&amp;"","")</f>
        <v/>
      </c>
      <c r="F45" s="10" t="s">
        <v>93</v>
      </c>
    </row>
    <row r="46" customFormat="false" ht="15" hidden="false" customHeight="false" outlineLevel="0" collapsed="false">
      <c r="A46" s="10" t="s">
        <v>51</v>
      </c>
      <c r="B46" s="10" t="s">
        <v>298</v>
      </c>
      <c r="C46" s="10" t="s">
        <v>299</v>
      </c>
      <c r="D46" s="12" t="s">
        <v>31</v>
      </c>
      <c r="E46" s="10" t="str">
        <f aca="false">IFERROR(INDEX('Thành viên'!$B$6:$B$10,MATCH($D46,'Thành viên'!$A$6:$A$10,0))&amp;"","")</f>
        <v/>
      </c>
      <c r="F46" s="10" t="s">
        <v>97</v>
      </c>
    </row>
    <row r="47" customFormat="false" ht="15" hidden="false" customHeight="false" outlineLevel="0" collapsed="false">
      <c r="A47" s="10" t="s">
        <v>51</v>
      </c>
      <c r="B47" s="10" t="s">
        <v>300</v>
      </c>
      <c r="C47" s="10" t="s">
        <v>301</v>
      </c>
      <c r="D47" s="12" t="s">
        <v>31</v>
      </c>
      <c r="E47" s="10" t="str">
        <f aca="false">IFERROR(INDEX('Thành viên'!$B$6:$B$10,MATCH($D47,'Thành viên'!$A$6:$A$10,0))&amp;"","")</f>
        <v/>
      </c>
      <c r="F47" s="10" t="s">
        <v>97</v>
      </c>
    </row>
    <row r="48" customFormat="false" ht="15" hidden="false" customHeight="false" outlineLevel="0" collapsed="false">
      <c r="A48" s="10" t="s">
        <v>51</v>
      </c>
      <c r="B48" s="10" t="s">
        <v>302</v>
      </c>
      <c r="C48" s="10" t="s">
        <v>303</v>
      </c>
      <c r="D48" s="12" t="s">
        <v>31</v>
      </c>
      <c r="E48" s="10" t="str">
        <f aca="false">IFERROR(INDEX('Thành viên'!$B$6:$B$10,MATCH($D48,'Thành viên'!$A$6:$A$10,0))&amp;"","")</f>
        <v/>
      </c>
      <c r="F48" s="10" t="s">
        <v>97</v>
      </c>
    </row>
    <row r="49" customFormat="false" ht="15" hidden="false" customHeight="false" outlineLevel="0" collapsed="false">
      <c r="A49" s="10" t="s">
        <v>51</v>
      </c>
      <c r="B49" s="10" t="s">
        <v>304</v>
      </c>
      <c r="C49" s="10" t="s">
        <v>305</v>
      </c>
      <c r="D49" s="8" t="s">
        <v>28</v>
      </c>
      <c r="E49" s="10" t="str">
        <f aca="false">IFERROR(INDEX('Thành viên'!$B$6:$B$10,MATCH($D49,'Thành viên'!$A$6:$A$10,0))&amp;"","")</f>
        <v/>
      </c>
      <c r="F49" s="10" t="s">
        <v>97</v>
      </c>
    </row>
    <row r="50" customFormat="false" ht="15" hidden="false" customHeight="false" outlineLevel="0" collapsed="false">
      <c r="A50" s="10" t="s">
        <v>51</v>
      </c>
      <c r="B50" s="10" t="s">
        <v>306</v>
      </c>
      <c r="C50" s="10" t="s">
        <v>307</v>
      </c>
      <c r="D50" s="8" t="s">
        <v>28</v>
      </c>
      <c r="E50" s="10" t="str">
        <f aca="false">IFERROR(INDEX('Thành viên'!$B$6:$B$10,MATCH($D50,'Thành viên'!$A$6:$A$10,0))&amp;"","")</f>
        <v/>
      </c>
      <c r="F50" s="10" t="s">
        <v>97</v>
      </c>
    </row>
    <row r="51" customFormat="false" ht="15" hidden="false" customHeight="false" outlineLevel="0" collapsed="false">
      <c r="A51" s="10" t="s">
        <v>51</v>
      </c>
      <c r="B51" s="10" t="s">
        <v>308</v>
      </c>
      <c r="C51" s="10" t="s">
        <v>309</v>
      </c>
      <c r="D51" s="11" t="s">
        <v>32</v>
      </c>
      <c r="E51" s="10" t="str">
        <f aca="false">IFERROR(INDEX('Thành viên'!$B$6:$B$10,MATCH($D51,'Thành viên'!$A$6:$A$10,0))&amp;"","")</f>
        <v/>
      </c>
      <c r="F51" s="10" t="s">
        <v>97</v>
      </c>
    </row>
    <row r="52" customFormat="false" ht="15" hidden="false" customHeight="false" outlineLevel="0" collapsed="false">
      <c r="A52" s="10" t="s">
        <v>51</v>
      </c>
      <c r="B52" s="10" t="s">
        <v>310</v>
      </c>
      <c r="C52" s="10" t="s">
        <v>311</v>
      </c>
      <c r="D52" s="13" t="s">
        <v>35</v>
      </c>
      <c r="E52" s="10" t="str">
        <f aca="false">IFERROR(INDEX('Thành viên'!$B$6:$B$10,MATCH($D52,'Thành viên'!$A$6:$A$10,0))&amp;"","")</f>
        <v/>
      </c>
      <c r="F52" s="10" t="s">
        <v>97</v>
      </c>
    </row>
    <row r="53" customFormat="false" ht="15" hidden="false" customHeight="false" outlineLevel="0" collapsed="false">
      <c r="A53" s="10" t="s">
        <v>52</v>
      </c>
      <c r="B53" s="10" t="s">
        <v>312</v>
      </c>
      <c r="C53" s="10" t="s">
        <v>313</v>
      </c>
      <c r="D53" s="11" t="s">
        <v>32</v>
      </c>
      <c r="E53" s="10" t="str">
        <f aca="false">IFERROR(INDEX('Thành viên'!$B$6:$B$10,MATCH($D53,'Thành viên'!$A$6:$A$10,0))&amp;"","")</f>
        <v/>
      </c>
      <c r="F53" s="10" t="s">
        <v>89</v>
      </c>
    </row>
    <row r="54" customFormat="false" ht="15" hidden="false" customHeight="false" outlineLevel="0" collapsed="false">
      <c r="A54" s="10" t="s">
        <v>52</v>
      </c>
      <c r="B54" s="10" t="s">
        <v>314</v>
      </c>
      <c r="C54" s="10" t="s">
        <v>315</v>
      </c>
      <c r="D54" s="11" t="s">
        <v>32</v>
      </c>
      <c r="E54" s="10" t="str">
        <f aca="false">IFERROR(INDEX('Thành viên'!$B$6:$B$10,MATCH($D54,'Thành viên'!$A$6:$A$10,0))&amp;"","")</f>
        <v/>
      </c>
      <c r="F54" s="10" t="s">
        <v>89</v>
      </c>
    </row>
    <row r="55" customFormat="false" ht="15" hidden="false" customHeight="false" outlineLevel="0" collapsed="false">
      <c r="A55" s="10" t="s">
        <v>52</v>
      </c>
      <c r="B55" s="10" t="s">
        <v>316</v>
      </c>
      <c r="C55" s="10" t="s">
        <v>317</v>
      </c>
      <c r="D55" s="11" t="s">
        <v>32</v>
      </c>
      <c r="E55" s="10" t="str">
        <f aca="false">IFERROR(INDEX('Thành viên'!$B$6:$B$10,MATCH($D55,'Thành viên'!$A$6:$A$10,0))&amp;"","")</f>
        <v/>
      </c>
      <c r="F55" s="10" t="s">
        <v>89</v>
      </c>
    </row>
    <row r="56" customFormat="false" ht="15" hidden="false" customHeight="false" outlineLevel="0" collapsed="false">
      <c r="A56" s="10" t="s">
        <v>52</v>
      </c>
      <c r="B56" s="10" t="s">
        <v>318</v>
      </c>
      <c r="C56" s="10" t="s">
        <v>319</v>
      </c>
      <c r="D56" s="12" t="s">
        <v>31</v>
      </c>
      <c r="E56" s="10" t="str">
        <f aca="false">IFERROR(INDEX('Thành viên'!$B$6:$B$10,MATCH($D56,'Thành viên'!$A$6:$A$10,0))&amp;"","")</f>
        <v/>
      </c>
      <c r="F56" s="10" t="s">
        <v>89</v>
      </c>
    </row>
    <row r="57" customFormat="false" ht="15" hidden="false" customHeight="false" outlineLevel="0" collapsed="false">
      <c r="A57" s="10" t="s">
        <v>52</v>
      </c>
      <c r="B57" s="10" t="s">
        <v>320</v>
      </c>
      <c r="C57" s="10" t="s">
        <v>321</v>
      </c>
      <c r="D57" s="12" t="s">
        <v>31</v>
      </c>
      <c r="E57" s="10" t="str">
        <f aca="false">IFERROR(INDEX('Thành viên'!$B$6:$B$10,MATCH($D57,'Thành viên'!$A$6:$A$10,0))&amp;"","")</f>
        <v/>
      </c>
      <c r="F57" s="10" t="s">
        <v>89</v>
      </c>
    </row>
    <row r="58" customFormat="false" ht="15" hidden="false" customHeight="false" outlineLevel="0" collapsed="false">
      <c r="A58" s="10" t="s">
        <v>52</v>
      </c>
      <c r="B58" s="10" t="s">
        <v>322</v>
      </c>
      <c r="C58" s="10" t="s">
        <v>323</v>
      </c>
      <c r="D58" s="12" t="s">
        <v>31</v>
      </c>
      <c r="E58" s="10" t="str">
        <f aca="false">IFERROR(INDEX('Thành viên'!$B$6:$B$10,MATCH($D58,'Thành viên'!$A$6:$A$10,0))&amp;"","")</f>
        <v/>
      </c>
      <c r="F58" s="10" t="s">
        <v>89</v>
      </c>
    </row>
    <row r="59" customFormat="false" ht="15" hidden="false" customHeight="false" outlineLevel="0" collapsed="false">
      <c r="A59" s="10" t="s">
        <v>52</v>
      </c>
      <c r="B59" s="10" t="s">
        <v>324</v>
      </c>
      <c r="C59" s="10" t="s">
        <v>325</v>
      </c>
      <c r="D59" s="12" t="s">
        <v>31</v>
      </c>
      <c r="E59" s="10" t="str">
        <f aca="false">IFERROR(INDEX('Thành viên'!$B$6:$B$10,MATCH($D59,'Thành viên'!$A$6:$A$10,0))&amp;"","")</f>
        <v/>
      </c>
      <c r="F59" s="10" t="s">
        <v>89</v>
      </c>
    </row>
    <row r="60" customFormat="false" ht="15" hidden="false" customHeight="false" outlineLevel="0" collapsed="false">
      <c r="A60" s="10" t="s">
        <v>52</v>
      </c>
      <c r="B60" s="10" t="s">
        <v>326</v>
      </c>
      <c r="C60" s="10" t="s">
        <v>327</v>
      </c>
      <c r="D60" s="13" t="s">
        <v>35</v>
      </c>
      <c r="E60" s="10" t="str">
        <f aca="false">IFERROR(INDEX('Thành viên'!$B$6:$B$10,MATCH($D60,'Thành viên'!$A$6:$A$10,0))&amp;"","")</f>
        <v/>
      </c>
      <c r="F60" s="10" t="s">
        <v>89</v>
      </c>
    </row>
    <row r="61" customFormat="false" ht="15" hidden="false" customHeight="false" outlineLevel="0" collapsed="false">
      <c r="A61" s="10" t="s">
        <v>328</v>
      </c>
      <c r="B61" s="10" t="s">
        <v>329</v>
      </c>
      <c r="C61" s="10" t="s">
        <v>330</v>
      </c>
      <c r="D61" s="11" t="s">
        <v>32</v>
      </c>
      <c r="E61" s="10" t="str">
        <f aca="false">IFERROR(INDEX('Thành viên'!$B$6:$B$10,MATCH($D61,'Thành viên'!$A$6:$A$10,0))&amp;"","")</f>
        <v/>
      </c>
      <c r="F61" s="10" t="s">
        <v>89</v>
      </c>
    </row>
    <row r="62" customFormat="false" ht="15" hidden="false" customHeight="false" outlineLevel="0" collapsed="false">
      <c r="A62" s="10" t="s">
        <v>328</v>
      </c>
      <c r="B62" s="10" t="s">
        <v>331</v>
      </c>
      <c r="C62" s="10" t="s">
        <v>332</v>
      </c>
      <c r="D62" s="11" t="s">
        <v>32</v>
      </c>
      <c r="E62" s="10" t="str">
        <f aca="false">IFERROR(INDEX('Thành viên'!$B$6:$B$10,MATCH($D62,'Thành viên'!$A$6:$A$10,0))&amp;"","")</f>
        <v/>
      </c>
      <c r="F62" s="10" t="s">
        <v>89</v>
      </c>
    </row>
    <row r="63" customFormat="false" ht="15" hidden="false" customHeight="false" outlineLevel="0" collapsed="false">
      <c r="A63" s="10" t="s">
        <v>328</v>
      </c>
      <c r="B63" s="10" t="s">
        <v>333</v>
      </c>
      <c r="C63" s="10" t="s">
        <v>334</v>
      </c>
      <c r="D63" s="11" t="s">
        <v>32</v>
      </c>
      <c r="E63" s="10" t="str">
        <f aca="false">IFERROR(INDEX('Thành viên'!$B$6:$B$10,MATCH($D63,'Thành viên'!$A$6:$A$10,0))&amp;"","")</f>
        <v/>
      </c>
      <c r="F63" s="10" t="s">
        <v>89</v>
      </c>
    </row>
    <row r="64" customFormat="false" ht="15" hidden="false" customHeight="false" outlineLevel="0" collapsed="false">
      <c r="A64" s="10" t="s">
        <v>328</v>
      </c>
      <c r="B64" s="10" t="s">
        <v>335</v>
      </c>
      <c r="C64" s="10" t="s">
        <v>336</v>
      </c>
      <c r="D64" s="11" t="s">
        <v>32</v>
      </c>
      <c r="E64" s="10" t="str">
        <f aca="false">IFERROR(INDEX('Thành viên'!$B$6:$B$10,MATCH($D64,'Thành viên'!$A$6:$A$10,0))&amp;"","")</f>
        <v/>
      </c>
      <c r="F64" s="10" t="s">
        <v>89</v>
      </c>
    </row>
    <row r="65" customFormat="false" ht="15" hidden="false" customHeight="false" outlineLevel="0" collapsed="false">
      <c r="A65" s="10" t="s">
        <v>328</v>
      </c>
      <c r="B65" s="10" t="s">
        <v>337</v>
      </c>
      <c r="C65" s="10" t="s">
        <v>338</v>
      </c>
      <c r="D65" s="11" t="s">
        <v>32</v>
      </c>
      <c r="E65" s="10" t="str">
        <f aca="false">IFERROR(INDEX('Thành viên'!$B$6:$B$10,MATCH($D65,'Thành viên'!$A$6:$A$10,0))&amp;"","")</f>
        <v/>
      </c>
      <c r="F65" s="10" t="s">
        <v>89</v>
      </c>
    </row>
    <row r="66" customFormat="false" ht="15" hidden="false" customHeight="false" outlineLevel="0" collapsed="false">
      <c r="A66" s="10" t="s">
        <v>328</v>
      </c>
      <c r="B66" s="10" t="s">
        <v>339</v>
      </c>
      <c r="C66" s="10" t="s">
        <v>340</v>
      </c>
      <c r="D66" s="11" t="s">
        <v>32</v>
      </c>
      <c r="E66" s="10" t="str">
        <f aca="false">IFERROR(INDEX('Thành viên'!$B$6:$B$10,MATCH($D66,'Thành viên'!$A$6:$A$10,0))&amp;"","")</f>
        <v/>
      </c>
      <c r="F66" s="10" t="s">
        <v>89</v>
      </c>
    </row>
    <row r="67" customFormat="false" ht="15" hidden="false" customHeight="false" outlineLevel="0" collapsed="false">
      <c r="A67" s="10" t="s">
        <v>328</v>
      </c>
      <c r="B67" s="10" t="s">
        <v>341</v>
      </c>
      <c r="C67" s="10" t="s">
        <v>342</v>
      </c>
      <c r="D67" s="11" t="s">
        <v>32</v>
      </c>
      <c r="E67" s="10" t="str">
        <f aca="false">IFERROR(INDEX('Thành viên'!$B$6:$B$10,MATCH($D67,'Thành viên'!$A$6:$A$10,0))&amp;"","")</f>
        <v/>
      </c>
      <c r="F67" s="10" t="s">
        <v>89</v>
      </c>
    </row>
    <row r="68" customFormat="false" ht="15" hidden="false" customHeight="false" outlineLevel="0" collapsed="false">
      <c r="A68" s="10" t="s">
        <v>328</v>
      </c>
      <c r="B68" s="10" t="s">
        <v>343</v>
      </c>
      <c r="C68" s="10" t="s">
        <v>344</v>
      </c>
      <c r="D68" s="11" t="s">
        <v>32</v>
      </c>
      <c r="E68" s="10" t="str">
        <f aca="false">IFERROR(INDEX('Thành viên'!$B$6:$B$10,MATCH($D68,'Thành viên'!$A$6:$A$10,0))&amp;"","")</f>
        <v/>
      </c>
      <c r="F68" s="10" t="s">
        <v>89</v>
      </c>
    </row>
    <row r="69" customFormat="false" ht="15" hidden="false" customHeight="false" outlineLevel="0" collapsed="false">
      <c r="A69" s="10" t="s">
        <v>328</v>
      </c>
      <c r="B69" s="10" t="s">
        <v>345</v>
      </c>
      <c r="C69" s="10" t="s">
        <v>346</v>
      </c>
      <c r="D69" s="11" t="s">
        <v>32</v>
      </c>
      <c r="E69" s="10" t="str">
        <f aca="false">IFERROR(INDEX('Thành viên'!$B$6:$B$10,MATCH($D69,'Thành viên'!$A$6:$A$10,0))&amp;"","")</f>
        <v/>
      </c>
      <c r="F69" s="10" t="s">
        <v>89</v>
      </c>
    </row>
    <row r="70" customFormat="false" ht="15" hidden="false" customHeight="false" outlineLevel="0" collapsed="false">
      <c r="A70" s="10" t="s">
        <v>328</v>
      </c>
      <c r="B70" s="10" t="s">
        <v>347</v>
      </c>
      <c r="C70" s="10" t="s">
        <v>348</v>
      </c>
      <c r="D70" s="11" t="s">
        <v>32</v>
      </c>
      <c r="E70" s="10" t="str">
        <f aca="false">IFERROR(INDEX('Thành viên'!$B$6:$B$10,MATCH($D70,'Thành viên'!$A$6:$A$10,0))&amp;"","")</f>
        <v/>
      </c>
      <c r="F70" s="10" t="s">
        <v>89</v>
      </c>
    </row>
    <row r="71" customFormat="false" ht="15" hidden="false" customHeight="false" outlineLevel="0" collapsed="false">
      <c r="A71" s="10" t="s">
        <v>328</v>
      </c>
      <c r="B71" s="10" t="s">
        <v>349</v>
      </c>
      <c r="C71" s="10" t="s">
        <v>350</v>
      </c>
      <c r="D71" s="11" t="s">
        <v>32</v>
      </c>
      <c r="E71" s="10" t="str">
        <f aca="false">IFERROR(INDEX('Thành viên'!$B$6:$B$10,MATCH($D71,'Thành viên'!$A$6:$A$10,0))&amp;"","")</f>
        <v/>
      </c>
      <c r="F71" s="10" t="s">
        <v>89</v>
      </c>
    </row>
    <row r="72" customFormat="false" ht="15" hidden="false" customHeight="false" outlineLevel="0" collapsed="false">
      <c r="A72" s="10" t="s">
        <v>328</v>
      </c>
      <c r="B72" s="10" t="s">
        <v>351</v>
      </c>
      <c r="C72" s="10" t="s">
        <v>352</v>
      </c>
      <c r="D72" s="11" t="s">
        <v>32</v>
      </c>
      <c r="E72" s="10" t="str">
        <f aca="false">IFERROR(INDEX('Thành viên'!$B$6:$B$10,MATCH($D72,'Thành viên'!$A$6:$A$10,0))&amp;"","")</f>
        <v/>
      </c>
      <c r="F72" s="10" t="s">
        <v>89</v>
      </c>
    </row>
    <row r="73" customFormat="false" ht="15" hidden="false" customHeight="false" outlineLevel="0" collapsed="false">
      <c r="A73" s="10" t="s">
        <v>328</v>
      </c>
      <c r="B73" s="10" t="s">
        <v>353</v>
      </c>
      <c r="C73" s="10" t="s">
        <v>354</v>
      </c>
      <c r="D73" s="8" t="s">
        <v>28</v>
      </c>
      <c r="E73" s="10" t="str">
        <f aca="false">IFERROR(INDEX('Thành viên'!$B$6:$B$10,MATCH($D73,'Thành viên'!$A$6:$A$10,0))&amp;"","")</f>
        <v/>
      </c>
      <c r="F73" s="10" t="s">
        <v>89</v>
      </c>
    </row>
    <row r="74" customFormat="false" ht="15" hidden="false" customHeight="false" outlineLevel="0" collapsed="false">
      <c r="A74" s="10" t="s">
        <v>328</v>
      </c>
      <c r="B74" s="10" t="s">
        <v>355</v>
      </c>
      <c r="C74" s="10" t="s">
        <v>356</v>
      </c>
      <c r="D74" s="8" t="s">
        <v>28</v>
      </c>
      <c r="E74" s="10" t="str">
        <f aca="false">IFERROR(INDEX('Thành viên'!$B$6:$B$10,MATCH($D74,'Thành viên'!$A$6:$A$10,0))&amp;"","")</f>
        <v/>
      </c>
      <c r="F74" s="10" t="s">
        <v>89</v>
      </c>
    </row>
    <row r="75" customFormat="false" ht="15" hidden="false" customHeight="false" outlineLevel="0" collapsed="false">
      <c r="A75" s="10" t="s">
        <v>328</v>
      </c>
      <c r="B75" s="10" t="s">
        <v>357</v>
      </c>
      <c r="C75" s="10" t="s">
        <v>358</v>
      </c>
      <c r="D75" s="8" t="s">
        <v>28</v>
      </c>
      <c r="E75" s="10" t="str">
        <f aca="false">IFERROR(INDEX('Thành viên'!$B$6:$B$10,MATCH($D75,'Thành viên'!$A$6:$A$10,0))&amp;"","")</f>
        <v/>
      </c>
      <c r="F75" s="10" t="s">
        <v>89</v>
      </c>
    </row>
    <row r="76" customFormat="false" ht="15" hidden="false" customHeight="false" outlineLevel="0" collapsed="false">
      <c r="A76" s="10" t="s">
        <v>328</v>
      </c>
      <c r="B76" s="10" t="s">
        <v>359</v>
      </c>
      <c r="C76" s="10" t="s">
        <v>360</v>
      </c>
      <c r="D76" s="8" t="s">
        <v>28</v>
      </c>
      <c r="E76" s="10" t="str">
        <f aca="false">IFERROR(INDEX('Thành viên'!$B$6:$B$10,MATCH($D76,'Thành viên'!$A$6:$A$10,0))&amp;"","")</f>
        <v/>
      </c>
      <c r="F76" s="10" t="s">
        <v>89</v>
      </c>
    </row>
    <row r="77" customFormat="false" ht="15" hidden="false" customHeight="false" outlineLevel="0" collapsed="false">
      <c r="A77" s="10" t="s">
        <v>328</v>
      </c>
      <c r="B77" s="10" t="s">
        <v>361</v>
      </c>
      <c r="C77" s="10" t="s">
        <v>362</v>
      </c>
      <c r="D77" s="8" t="s">
        <v>28</v>
      </c>
      <c r="E77" s="10" t="str">
        <f aca="false">IFERROR(INDEX('Thành viên'!$B$6:$B$10,MATCH($D77,'Thành viên'!$A$6:$A$10,0))&amp;"","")</f>
        <v/>
      </c>
      <c r="F77" s="10" t="s">
        <v>89</v>
      </c>
    </row>
    <row r="78" customFormat="false" ht="15" hidden="false" customHeight="false" outlineLevel="0" collapsed="false">
      <c r="A78" s="10" t="s">
        <v>328</v>
      </c>
      <c r="B78" s="10" t="s">
        <v>363</v>
      </c>
      <c r="C78" s="10" t="s">
        <v>364</v>
      </c>
      <c r="D78" s="8" t="s">
        <v>28</v>
      </c>
      <c r="E78" s="10" t="str">
        <f aca="false">IFERROR(INDEX('Thành viên'!$B$6:$B$10,MATCH($D78,'Thành viên'!$A$6:$A$10,0))&amp;"","")</f>
        <v/>
      </c>
      <c r="F78" s="10" t="s">
        <v>89</v>
      </c>
    </row>
    <row r="79" customFormat="false" ht="15" hidden="false" customHeight="false" outlineLevel="0" collapsed="false">
      <c r="A79" s="10" t="s">
        <v>328</v>
      </c>
      <c r="B79" s="10" t="s">
        <v>365</v>
      </c>
      <c r="C79" s="10" t="s">
        <v>366</v>
      </c>
      <c r="D79" s="8" t="s">
        <v>28</v>
      </c>
      <c r="E79" s="10" t="str">
        <f aca="false">IFERROR(INDEX('Thành viên'!$B$6:$B$10,MATCH($D79,'Thành viên'!$A$6:$A$10,0))&amp;"","")</f>
        <v/>
      </c>
      <c r="F79" s="10" t="s">
        <v>89</v>
      </c>
    </row>
    <row r="80" customFormat="false" ht="15" hidden="false" customHeight="false" outlineLevel="0" collapsed="false">
      <c r="A80" s="10" t="s">
        <v>328</v>
      </c>
      <c r="B80" s="10" t="s">
        <v>367</v>
      </c>
      <c r="C80" s="10" t="s">
        <v>368</v>
      </c>
      <c r="D80" s="8" t="s">
        <v>28</v>
      </c>
      <c r="E80" s="10" t="str">
        <f aca="false">IFERROR(INDEX('Thành viên'!$B$6:$B$10,MATCH($D80,'Thành viên'!$A$6:$A$10,0))&amp;"","")</f>
        <v/>
      </c>
      <c r="F80" s="10" t="s">
        <v>89</v>
      </c>
    </row>
    <row r="81" customFormat="false" ht="15" hidden="false" customHeight="false" outlineLevel="0" collapsed="false">
      <c r="A81" s="10" t="s">
        <v>328</v>
      </c>
      <c r="B81" s="10" t="s">
        <v>369</v>
      </c>
      <c r="C81" s="10" t="s">
        <v>370</v>
      </c>
      <c r="D81" s="8" t="s">
        <v>28</v>
      </c>
      <c r="E81" s="10" t="str">
        <f aca="false">IFERROR(INDEX('Thành viên'!$B$6:$B$10,MATCH($D81,'Thành viên'!$A$6:$A$10,0))&amp;"","")</f>
        <v/>
      </c>
      <c r="F81" s="10" t="s">
        <v>89</v>
      </c>
    </row>
    <row r="82" customFormat="false" ht="15" hidden="false" customHeight="false" outlineLevel="0" collapsed="false">
      <c r="A82" s="10" t="s">
        <v>328</v>
      </c>
      <c r="B82" s="10" t="s">
        <v>371</v>
      </c>
      <c r="C82" s="10" t="s">
        <v>372</v>
      </c>
      <c r="D82" s="8" t="s">
        <v>28</v>
      </c>
      <c r="E82" s="10" t="str">
        <f aca="false">IFERROR(INDEX('Thành viên'!$B$6:$B$10,MATCH($D82,'Thành viên'!$A$6:$A$10,0))&amp;"","")</f>
        <v/>
      </c>
      <c r="F82" s="10" t="s">
        <v>89</v>
      </c>
    </row>
    <row r="83" customFormat="false" ht="15" hidden="false" customHeight="false" outlineLevel="0" collapsed="false">
      <c r="A83" s="10" t="s">
        <v>328</v>
      </c>
      <c r="B83" s="10" t="s">
        <v>373</v>
      </c>
      <c r="C83" s="10" t="s">
        <v>374</v>
      </c>
      <c r="D83" s="8" t="s">
        <v>28</v>
      </c>
      <c r="E83" s="10" t="str">
        <f aca="false">IFERROR(INDEX('Thành viên'!$B$6:$B$10,MATCH($D83,'Thành viên'!$A$6:$A$10,0))&amp;"","")</f>
        <v/>
      </c>
      <c r="F83" s="10" t="s">
        <v>89</v>
      </c>
    </row>
    <row r="84" customFormat="false" ht="15" hidden="false" customHeight="false" outlineLevel="0" collapsed="false">
      <c r="A84" s="10" t="s">
        <v>328</v>
      </c>
      <c r="B84" s="10" t="s">
        <v>375</v>
      </c>
      <c r="C84" s="10" t="s">
        <v>376</v>
      </c>
      <c r="D84" s="8" t="s">
        <v>28</v>
      </c>
      <c r="E84" s="10" t="str">
        <f aca="false">IFERROR(INDEX('Thành viên'!$B$6:$B$10,MATCH($D84,'Thành viên'!$A$6:$A$10,0))&amp;"","")</f>
        <v/>
      </c>
      <c r="F84" s="10" t="s">
        <v>89</v>
      </c>
    </row>
    <row r="85" customFormat="false" ht="15" hidden="false" customHeight="false" outlineLevel="0" collapsed="false">
      <c r="A85" s="10" t="s">
        <v>328</v>
      </c>
      <c r="B85" s="10" t="s">
        <v>377</v>
      </c>
      <c r="C85" s="10" t="s">
        <v>378</v>
      </c>
      <c r="D85" s="8" t="s">
        <v>28</v>
      </c>
      <c r="E85" s="10" t="str">
        <f aca="false">IFERROR(INDEX('Thành viên'!$B$6:$B$10,MATCH($D85,'Thành viên'!$A$6:$A$10,0))&amp;"","")</f>
        <v/>
      </c>
      <c r="F85" s="10" t="s">
        <v>89</v>
      </c>
    </row>
    <row r="86" customFormat="false" ht="15" hidden="false" customHeight="false" outlineLevel="0" collapsed="false">
      <c r="A86" s="10" t="s">
        <v>328</v>
      </c>
      <c r="B86" s="10" t="s">
        <v>379</v>
      </c>
      <c r="C86" s="10" t="s">
        <v>380</v>
      </c>
      <c r="D86" s="8" t="s">
        <v>28</v>
      </c>
      <c r="E86" s="10" t="str">
        <f aca="false">IFERROR(INDEX('Thành viên'!$B$6:$B$10,MATCH($D86,'Thành viên'!$A$6:$A$10,0))&amp;"","")</f>
        <v/>
      </c>
      <c r="F86" s="10" t="s">
        <v>89</v>
      </c>
    </row>
    <row r="87" customFormat="false" ht="15" hidden="false" customHeight="false" outlineLevel="0" collapsed="false">
      <c r="A87" s="10" t="s">
        <v>328</v>
      </c>
      <c r="B87" s="10" t="s">
        <v>381</v>
      </c>
      <c r="C87" s="10" t="s">
        <v>382</v>
      </c>
      <c r="D87" s="8" t="s">
        <v>28</v>
      </c>
      <c r="E87" s="10" t="str">
        <f aca="false">IFERROR(INDEX('Thành viên'!$B$6:$B$10,MATCH($D87,'Thành viên'!$A$6:$A$10,0))&amp;"","")</f>
        <v/>
      </c>
      <c r="F87" s="10" t="s">
        <v>89</v>
      </c>
    </row>
    <row r="88" customFormat="false" ht="15" hidden="false" customHeight="false" outlineLevel="0" collapsed="false">
      <c r="A88" s="10" t="s">
        <v>328</v>
      </c>
      <c r="B88" s="10" t="s">
        <v>383</v>
      </c>
      <c r="C88" s="10" t="s">
        <v>384</v>
      </c>
      <c r="D88" s="13" t="s">
        <v>35</v>
      </c>
      <c r="E88" s="10" t="str">
        <f aca="false">IFERROR(INDEX('Thành viên'!$B$6:$B$10,MATCH($D88,'Thành viên'!$A$6:$A$10,0))&amp;"","")</f>
        <v/>
      </c>
      <c r="F88" s="10" t="s">
        <v>89</v>
      </c>
    </row>
    <row r="89" customFormat="false" ht="15" hidden="false" customHeight="false" outlineLevel="0" collapsed="false">
      <c r="A89" s="10" t="s">
        <v>328</v>
      </c>
      <c r="B89" s="10" t="s">
        <v>385</v>
      </c>
      <c r="C89" s="10" t="s">
        <v>386</v>
      </c>
      <c r="D89" s="13" t="s">
        <v>35</v>
      </c>
      <c r="E89" s="10" t="str">
        <f aca="false">IFERROR(INDEX('Thành viên'!$B$6:$B$10,MATCH($D89,'Thành viên'!$A$6:$A$10,0))&amp;"","")</f>
        <v/>
      </c>
      <c r="F89" s="10" t="s">
        <v>89</v>
      </c>
    </row>
    <row r="90" customFormat="false" ht="15" hidden="false" customHeight="false" outlineLevel="0" collapsed="false">
      <c r="A90" s="10" t="s">
        <v>328</v>
      </c>
      <c r="B90" s="10" t="s">
        <v>387</v>
      </c>
      <c r="C90" s="10" t="s">
        <v>388</v>
      </c>
      <c r="D90" s="13" t="s">
        <v>35</v>
      </c>
      <c r="E90" s="10" t="str">
        <f aca="false">IFERROR(INDEX('Thành viên'!$B$6:$B$10,MATCH($D90,'Thành viên'!$A$6:$A$10,0))&amp;"","")</f>
        <v/>
      </c>
      <c r="F90" s="10" t="s">
        <v>89</v>
      </c>
    </row>
    <row r="91" customFormat="false" ht="15" hidden="false" customHeight="false" outlineLevel="0" collapsed="false">
      <c r="A91" s="10" t="s">
        <v>328</v>
      </c>
      <c r="B91" s="10" t="s">
        <v>389</v>
      </c>
      <c r="C91" s="10" t="s">
        <v>390</v>
      </c>
      <c r="D91" s="13" t="s">
        <v>35</v>
      </c>
      <c r="E91" s="10" t="str">
        <f aca="false">IFERROR(INDEX('Thành viên'!$B$6:$B$10,MATCH($D91,'Thành viên'!$A$6:$A$10,0))&amp;"","")</f>
        <v/>
      </c>
      <c r="F91" s="10" t="s">
        <v>89</v>
      </c>
    </row>
    <row r="92" customFormat="false" ht="15" hidden="false" customHeight="false" outlineLevel="0" collapsed="false">
      <c r="A92" s="10" t="s">
        <v>328</v>
      </c>
      <c r="B92" s="10" t="s">
        <v>391</v>
      </c>
      <c r="C92" s="10" t="s">
        <v>392</v>
      </c>
      <c r="D92" s="13" t="s">
        <v>35</v>
      </c>
      <c r="E92" s="10" t="str">
        <f aca="false">IFERROR(INDEX('Thành viên'!$B$6:$B$10,MATCH($D92,'Thành viên'!$A$6:$A$10,0))&amp;"","")</f>
        <v/>
      </c>
      <c r="F92" s="10" t="s">
        <v>89</v>
      </c>
    </row>
    <row r="93" customFormat="false" ht="15" hidden="false" customHeight="false" outlineLevel="0" collapsed="false">
      <c r="A93" s="10" t="s">
        <v>328</v>
      </c>
      <c r="B93" s="10" t="s">
        <v>393</v>
      </c>
      <c r="C93" s="10" t="s">
        <v>394</v>
      </c>
      <c r="D93" s="8" t="s">
        <v>28</v>
      </c>
      <c r="E93" s="10" t="str">
        <f aca="false">IFERROR(INDEX('Thành viên'!$B$6:$B$10,MATCH($D93,'Thành viên'!$A$6:$A$10,0))&amp;"","")</f>
        <v/>
      </c>
      <c r="F93" s="10" t="s">
        <v>89</v>
      </c>
    </row>
    <row r="94" customFormat="false" ht="15" hidden="false" customHeight="false" outlineLevel="0" collapsed="false">
      <c r="A94" s="10" t="s">
        <v>328</v>
      </c>
      <c r="B94" s="10" t="s">
        <v>395</v>
      </c>
      <c r="C94" s="10" t="s">
        <v>396</v>
      </c>
      <c r="D94" s="14" t="s">
        <v>40</v>
      </c>
      <c r="E94" s="10" t="str">
        <f aca="false">IFERROR(INDEX('Thành viên'!$B$6:$B$10,MATCH($D94,'Thành viên'!$A$6:$A$10,0))&amp;"","")</f>
        <v/>
      </c>
      <c r="F94" s="10" t="s">
        <v>188</v>
      </c>
    </row>
    <row r="95" customFormat="false" ht="15" hidden="false" customHeight="false" outlineLevel="0" collapsed="false">
      <c r="A95" s="10" t="s">
        <v>328</v>
      </c>
      <c r="B95" s="10" t="s">
        <v>397</v>
      </c>
      <c r="C95" s="10" t="s">
        <v>398</v>
      </c>
      <c r="D95" s="14" t="s">
        <v>40</v>
      </c>
      <c r="E95" s="10" t="str">
        <f aca="false">IFERROR(INDEX('Thành viên'!$B$6:$B$10,MATCH($D95,'Thành viên'!$A$6:$A$10,0))&amp;"","")</f>
        <v/>
      </c>
      <c r="F95" s="10" t="s">
        <v>188</v>
      </c>
    </row>
    <row r="96" customFormat="false" ht="15" hidden="false" customHeight="false" outlineLevel="0" collapsed="false">
      <c r="A96" s="10" t="s">
        <v>328</v>
      </c>
      <c r="B96" s="10" t="s">
        <v>399</v>
      </c>
      <c r="C96" s="10" t="s">
        <v>400</v>
      </c>
      <c r="D96" s="14" t="s">
        <v>40</v>
      </c>
      <c r="E96" s="10" t="str">
        <f aca="false">IFERROR(INDEX('Thành viên'!$B$6:$B$10,MATCH($D96,'Thành viên'!$A$6:$A$10,0))&amp;"","")</f>
        <v/>
      </c>
      <c r="F96" s="10" t="s">
        <v>188</v>
      </c>
    </row>
    <row r="97" customFormat="false" ht="15" hidden="false" customHeight="false" outlineLevel="0" collapsed="false">
      <c r="A97" s="10" t="s">
        <v>328</v>
      </c>
      <c r="B97" s="10" t="s">
        <v>401</v>
      </c>
      <c r="C97" s="10" t="s">
        <v>402</v>
      </c>
      <c r="D97" s="14" t="s">
        <v>40</v>
      </c>
      <c r="E97" s="10" t="str">
        <f aca="false">IFERROR(INDEX('Thành viên'!$B$6:$B$10,MATCH($D97,'Thành viên'!$A$6:$A$10,0))&amp;"","")</f>
        <v/>
      </c>
      <c r="F97" s="10" t="s">
        <v>188</v>
      </c>
    </row>
    <row r="98" customFormat="false" ht="15" hidden="false" customHeight="false" outlineLevel="0" collapsed="false">
      <c r="A98" s="10" t="s">
        <v>328</v>
      </c>
      <c r="B98" s="10" t="s">
        <v>403</v>
      </c>
      <c r="C98" s="10" t="s">
        <v>404</v>
      </c>
      <c r="D98" s="14" t="s">
        <v>40</v>
      </c>
      <c r="E98" s="10" t="str">
        <f aca="false">IFERROR(INDEX('Thành viên'!$B$6:$B$10,MATCH($D98,'Thành viên'!$A$6:$A$10,0))&amp;"","")</f>
        <v/>
      </c>
      <c r="F98" s="10" t="s">
        <v>188</v>
      </c>
    </row>
    <row r="99" customFormat="false" ht="15" hidden="false" customHeight="false" outlineLevel="0" collapsed="false">
      <c r="A99" s="10" t="s">
        <v>328</v>
      </c>
      <c r="B99" s="10" t="s">
        <v>405</v>
      </c>
      <c r="C99" s="10" t="s">
        <v>406</v>
      </c>
      <c r="D99" s="14" t="s">
        <v>40</v>
      </c>
      <c r="E99" s="10" t="str">
        <f aca="false">IFERROR(INDEX('Thành viên'!$B$6:$B$10,MATCH($D99,'Thành viên'!$A$6:$A$10,0))&amp;"","")</f>
        <v/>
      </c>
      <c r="F99" s="10" t="s">
        <v>188</v>
      </c>
    </row>
    <row r="100" customFormat="false" ht="15" hidden="false" customHeight="false" outlineLevel="0" collapsed="false">
      <c r="A100" s="10" t="s">
        <v>328</v>
      </c>
      <c r="B100" s="10" t="s">
        <v>407</v>
      </c>
      <c r="C100" s="10" t="s">
        <v>408</v>
      </c>
      <c r="D100" s="14" t="s">
        <v>40</v>
      </c>
      <c r="E100" s="10" t="str">
        <f aca="false">IFERROR(INDEX('Thành viên'!$B$6:$B$10,MATCH($D100,'Thành viên'!$A$6:$A$10,0))&amp;"","")</f>
        <v/>
      </c>
      <c r="F100" s="10" t="s">
        <v>188</v>
      </c>
    </row>
    <row r="101" customFormat="false" ht="15" hidden="false" customHeight="false" outlineLevel="0" collapsed="false">
      <c r="A101" s="10" t="s">
        <v>409</v>
      </c>
      <c r="B101" s="10" t="s">
        <v>410</v>
      </c>
      <c r="C101" s="10" t="s">
        <v>411</v>
      </c>
      <c r="D101" s="8" t="s">
        <v>28</v>
      </c>
      <c r="E101" s="10" t="str">
        <f aca="false">IFERROR(INDEX('Thành viên'!$B$6:$B$10,MATCH($D101,'Thành viên'!$A$6:$A$10,0))&amp;"","")</f>
        <v/>
      </c>
      <c r="F101" s="10" t="s">
        <v>89</v>
      </c>
    </row>
    <row r="102" customFormat="false" ht="15" hidden="false" customHeight="false" outlineLevel="0" collapsed="false">
      <c r="A102" s="10" t="s">
        <v>412</v>
      </c>
      <c r="B102" s="10" t="s">
        <v>413</v>
      </c>
      <c r="C102" s="10" t="s">
        <v>414</v>
      </c>
      <c r="D102" s="14" t="s">
        <v>40</v>
      </c>
      <c r="E102" s="10" t="str">
        <f aca="false">IFERROR(INDEX('Thành viên'!$B$6:$B$10,MATCH($D102,'Thành viên'!$A$6:$A$10,0))&amp;"","")</f>
        <v/>
      </c>
      <c r="F102" s="10" t="s">
        <v>188</v>
      </c>
    </row>
    <row r="103" customFormat="false" ht="15" hidden="false" customHeight="false" outlineLevel="0" collapsed="false">
      <c r="A103" s="10" t="s">
        <v>412</v>
      </c>
      <c r="B103" s="10" t="s">
        <v>415</v>
      </c>
      <c r="C103" s="10" t="s">
        <v>416</v>
      </c>
      <c r="D103" s="14" t="s">
        <v>40</v>
      </c>
      <c r="E103" s="10" t="str">
        <f aca="false">IFERROR(INDEX('Thành viên'!$B$6:$B$10,MATCH($D103,'Thành viên'!$A$6:$A$10,0))&amp;"","")</f>
        <v/>
      </c>
      <c r="F103" s="10" t="s">
        <v>188</v>
      </c>
    </row>
    <row r="104" customFormat="false" ht="15" hidden="false" customHeight="false" outlineLevel="0" collapsed="false">
      <c r="A104" s="10" t="s">
        <v>412</v>
      </c>
      <c r="B104" s="10" t="s">
        <v>417</v>
      </c>
      <c r="C104" s="10" t="s">
        <v>418</v>
      </c>
      <c r="D104" s="14" t="s">
        <v>40</v>
      </c>
      <c r="E104" s="10" t="str">
        <f aca="false">IFERROR(INDEX('Thành viên'!$B$6:$B$10,MATCH($D104,'Thành viên'!$A$6:$A$10,0))&amp;"","")</f>
        <v/>
      </c>
      <c r="F104" s="10" t="s">
        <v>188</v>
      </c>
    </row>
    <row r="105" customFormat="false" ht="15" hidden="false" customHeight="false" outlineLevel="0" collapsed="false">
      <c r="A105" s="10" t="s">
        <v>412</v>
      </c>
      <c r="B105" s="10" t="s">
        <v>419</v>
      </c>
      <c r="C105" s="10" t="s">
        <v>420</v>
      </c>
      <c r="D105" s="14" t="s">
        <v>40</v>
      </c>
      <c r="E105" s="10" t="str">
        <f aca="false">IFERROR(INDEX('Thành viên'!$B$6:$B$10,MATCH($D105,'Thành viên'!$A$6:$A$10,0))&amp;"","")</f>
        <v/>
      </c>
      <c r="F105" s="10" t="s">
        <v>188</v>
      </c>
    </row>
    <row r="106" customFormat="false" ht="15" hidden="false" customHeight="false" outlineLevel="0" collapsed="false">
      <c r="A106" s="10" t="s">
        <v>412</v>
      </c>
      <c r="B106" s="10" t="s">
        <v>421</v>
      </c>
      <c r="C106" s="10" t="s">
        <v>422</v>
      </c>
      <c r="D106" s="14" t="s">
        <v>40</v>
      </c>
      <c r="E106" s="10" t="str">
        <f aca="false">IFERROR(INDEX('Thành viên'!$B$6:$B$10,MATCH($D106,'Thành viên'!$A$6:$A$10,0))&amp;"","")</f>
        <v/>
      </c>
      <c r="F106" s="10" t="s">
        <v>188</v>
      </c>
    </row>
    <row r="107" customFormat="false" ht="15" hidden="false" customHeight="false" outlineLevel="0" collapsed="false">
      <c r="A107" s="10" t="s">
        <v>423</v>
      </c>
      <c r="B107" s="10" t="s">
        <v>424</v>
      </c>
      <c r="C107" s="10" t="s">
        <v>425</v>
      </c>
      <c r="D107" s="14" t="s">
        <v>40</v>
      </c>
      <c r="E107" s="10" t="str">
        <f aca="false">IFERROR(INDEX('Thành viên'!$B$6:$B$10,MATCH($D107,'Thành viên'!$A$6:$A$10,0))&amp;"","")</f>
        <v/>
      </c>
      <c r="F107" s="10" t="s">
        <v>193</v>
      </c>
    </row>
    <row r="108" customFormat="false" ht="15" hidden="false" customHeight="false" outlineLevel="0" collapsed="false">
      <c r="A108" s="10" t="s">
        <v>423</v>
      </c>
      <c r="B108" s="10" t="s">
        <v>426</v>
      </c>
      <c r="C108" s="10" t="s">
        <v>427</v>
      </c>
      <c r="D108" s="14" t="s">
        <v>40</v>
      </c>
      <c r="E108" s="10" t="str">
        <f aca="false">IFERROR(INDEX('Thành viên'!$B$6:$B$10,MATCH($D108,'Thành viên'!$A$6:$A$10,0))&amp;"","")</f>
        <v/>
      </c>
      <c r="F108" s="10" t="s">
        <v>193</v>
      </c>
    </row>
    <row r="109" customFormat="false" ht="15" hidden="false" customHeight="false" outlineLevel="0" collapsed="false">
      <c r="A109" s="10" t="s">
        <v>423</v>
      </c>
      <c r="B109" s="10" t="s">
        <v>428</v>
      </c>
      <c r="C109" s="10" t="s">
        <v>429</v>
      </c>
      <c r="D109" s="14" t="s">
        <v>40</v>
      </c>
      <c r="E109" s="10" t="str">
        <f aca="false">IFERROR(INDEX('Thành viên'!$B$6:$B$10,MATCH($D109,'Thành viên'!$A$6:$A$10,0))&amp;"","")</f>
        <v/>
      </c>
      <c r="F109" s="10" t="s">
        <v>193</v>
      </c>
    </row>
    <row r="110" customFormat="false" ht="15" hidden="false" customHeight="false" outlineLevel="0" collapsed="false">
      <c r="A110" s="10" t="s">
        <v>423</v>
      </c>
      <c r="B110" s="10" t="s">
        <v>430</v>
      </c>
      <c r="C110" s="10" t="s">
        <v>431</v>
      </c>
      <c r="D110" s="14" t="s">
        <v>40</v>
      </c>
      <c r="E110" s="10" t="str">
        <f aca="false">IFERROR(INDEX('Thành viên'!$B$6:$B$10,MATCH($D110,'Thành viên'!$A$6:$A$10,0))&amp;"","")</f>
        <v/>
      </c>
      <c r="F110" s="10" t="s">
        <v>193</v>
      </c>
    </row>
    <row r="111" customFormat="false" ht="15" hidden="false" customHeight="false" outlineLevel="0" collapsed="false">
      <c r="A111" s="10" t="s">
        <v>423</v>
      </c>
      <c r="B111" s="10" t="s">
        <v>432</v>
      </c>
      <c r="C111" s="10" t="s">
        <v>342</v>
      </c>
      <c r="D111" s="14" t="s">
        <v>40</v>
      </c>
      <c r="E111" s="10" t="str">
        <f aca="false">IFERROR(INDEX('Thành viên'!$B$6:$B$10,MATCH($D111,'Thành viên'!$A$6:$A$10,0))&amp;"","")</f>
        <v/>
      </c>
      <c r="F111" s="10" t="s">
        <v>193</v>
      </c>
    </row>
    <row r="112" customFormat="false" ht="15" hidden="false" customHeight="false" outlineLevel="0" collapsed="false">
      <c r="A112" s="10" t="s">
        <v>423</v>
      </c>
      <c r="B112" s="10" t="s">
        <v>433</v>
      </c>
      <c r="C112" s="10" t="s">
        <v>376</v>
      </c>
      <c r="D112" s="14" t="s">
        <v>40</v>
      </c>
      <c r="E112" s="10" t="str">
        <f aca="false">IFERROR(INDEX('Thành viên'!$B$6:$B$10,MATCH($D112,'Thành viên'!$A$6:$A$10,0))&amp;"","")</f>
        <v/>
      </c>
      <c r="F112" s="10" t="s">
        <v>193</v>
      </c>
    </row>
    <row r="113" customFormat="false" ht="15" hidden="false" customHeight="false" outlineLevel="0" collapsed="false">
      <c r="A113" s="10" t="s">
        <v>434</v>
      </c>
      <c r="B113" s="10" t="s">
        <v>435</v>
      </c>
      <c r="C113" s="10" t="s">
        <v>436</v>
      </c>
      <c r="D113" s="14" t="s">
        <v>40</v>
      </c>
      <c r="E113" s="10" t="str">
        <f aca="false">IFERROR(INDEX('Thành viên'!$B$6:$B$10,MATCH($D113,'Thành viên'!$A$6:$A$10,0))&amp;"","")</f>
        <v/>
      </c>
      <c r="F113" s="10" t="s">
        <v>193</v>
      </c>
    </row>
    <row r="114" customFormat="false" ht="15" hidden="false" customHeight="false" outlineLevel="0" collapsed="false">
      <c r="A114" s="10" t="s">
        <v>434</v>
      </c>
      <c r="B114" s="10" t="s">
        <v>437</v>
      </c>
      <c r="C114" s="10" t="s">
        <v>438</v>
      </c>
      <c r="D114" s="14" t="s">
        <v>40</v>
      </c>
      <c r="E114" s="10" t="str">
        <f aca="false">IFERROR(INDEX('Thành viên'!$B$6:$B$10,MATCH($D114,'Thành viên'!$A$6:$A$10,0))&amp;"","")</f>
        <v/>
      </c>
      <c r="F114" s="10" t="s">
        <v>193</v>
      </c>
    </row>
  </sheetData>
  <autoFilter ref="A4:F114"/>
  <mergeCells count="1">
    <mergeCell ref="A2:G2"/>
  </mergeCells>
  <dataValidations count="1">
    <dataValidation allowBlank="false" errorStyle="stop" operator="between" showDropDown="false" showErrorMessage="false" showInputMessage="false" sqref="D5:D114" type="list">
      <formula1>"TV1,TV2,TV3,TV4,TV5"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9AB8A6"/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xSplit="0" ySplit="4" topLeftCell="A5" activePane="bottomLeft" state="frozen"/>
      <selection pane="bottomLeft" activeCell="A5" sqref="A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5"/>
    <col collapsed="false" customWidth="true" hidden="false" outlineLevel="0" max="3" min="3" style="0" width="24"/>
    <col collapsed="false" customWidth="true" hidden="false" outlineLevel="0" max="4" min="4" style="0" width="7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4" t="s">
        <v>205</v>
      </c>
    </row>
    <row r="2" customFormat="false" ht="30" hidden="false" customHeight="true" outlineLevel="0" collapsed="false">
      <c r="A2" s="5" t="s">
        <v>439</v>
      </c>
      <c r="B2" s="5"/>
      <c r="C2" s="5"/>
      <c r="D2" s="5"/>
      <c r="E2" s="5"/>
    </row>
    <row r="4" customFormat="false" ht="15" hidden="false" customHeight="false" outlineLevel="0" collapsed="false">
      <c r="A4" s="7" t="s">
        <v>440</v>
      </c>
      <c r="B4" s="7" t="s">
        <v>441</v>
      </c>
      <c r="C4" s="7" t="s">
        <v>442</v>
      </c>
      <c r="D4" s="7" t="s">
        <v>45</v>
      </c>
      <c r="E4" s="7" t="s">
        <v>22</v>
      </c>
    </row>
    <row r="5" customFormat="false" ht="15" hidden="false" customHeight="false" outlineLevel="0" collapsed="false">
      <c r="A5" s="10" t="s">
        <v>443</v>
      </c>
      <c r="B5" s="10" t="s">
        <v>444</v>
      </c>
      <c r="C5" s="10" t="s">
        <v>445</v>
      </c>
      <c r="D5" s="12" t="s">
        <v>31</v>
      </c>
      <c r="E5" s="10" t="str">
        <f aca="false">IFERROR(INDEX('Thành viên'!$B$6:$B$10,MATCH($D5,'Thành viên'!$A$6:$A$10,0))&amp;"","")</f>
        <v/>
      </c>
    </row>
    <row r="6" customFormat="false" ht="15" hidden="false" customHeight="false" outlineLevel="0" collapsed="false">
      <c r="A6" s="10" t="s">
        <v>446</v>
      </c>
      <c r="B6" s="10" t="s">
        <v>447</v>
      </c>
      <c r="C6" s="10" t="s">
        <v>448</v>
      </c>
      <c r="D6" s="12" t="s">
        <v>31</v>
      </c>
      <c r="E6" s="10" t="str">
        <f aca="false">IFERROR(INDEX('Thành viên'!$B$6:$B$10,MATCH($D6,'Thành viên'!$A$6:$A$10,0))&amp;"","")</f>
        <v/>
      </c>
    </row>
    <row r="7" customFormat="false" ht="15" hidden="false" customHeight="false" outlineLevel="0" collapsed="false">
      <c r="A7" s="10" t="s">
        <v>449</v>
      </c>
      <c r="B7" s="10" t="s">
        <v>450</v>
      </c>
      <c r="C7" s="10" t="s">
        <v>451</v>
      </c>
      <c r="D7" s="12" t="s">
        <v>31</v>
      </c>
      <c r="E7" s="10" t="str">
        <f aca="false">IFERROR(INDEX('Thành viên'!$B$6:$B$10,MATCH($D7,'Thành viên'!$A$6:$A$10,0))&amp;"","")</f>
        <v/>
      </c>
    </row>
    <row r="8" customFormat="false" ht="15" hidden="false" customHeight="false" outlineLevel="0" collapsed="false">
      <c r="A8" s="10" t="s">
        <v>452</v>
      </c>
      <c r="B8" s="10" t="s">
        <v>453</v>
      </c>
      <c r="C8" s="10" t="s">
        <v>454</v>
      </c>
      <c r="D8" s="12" t="s">
        <v>31</v>
      </c>
      <c r="E8" s="10" t="str">
        <f aca="false">IFERROR(INDEX('Thành viên'!$B$6:$B$10,MATCH($D8,'Thành viên'!$A$6:$A$10,0))&amp;"","")</f>
        <v/>
      </c>
    </row>
    <row r="9" customFormat="false" ht="15" hidden="false" customHeight="false" outlineLevel="0" collapsed="false">
      <c r="A9" s="10" t="s">
        <v>455</v>
      </c>
      <c r="B9" s="10" t="s">
        <v>456</v>
      </c>
      <c r="C9" s="10" t="s">
        <v>457</v>
      </c>
      <c r="D9" s="12" t="s">
        <v>31</v>
      </c>
      <c r="E9" s="10" t="str">
        <f aca="false">IFERROR(INDEX('Thành viên'!$B$6:$B$10,MATCH($D9,'Thành viên'!$A$6:$A$10,0))&amp;"","")</f>
        <v/>
      </c>
    </row>
    <row r="10" customFormat="false" ht="15" hidden="false" customHeight="false" outlineLevel="0" collapsed="false">
      <c r="A10" s="10" t="s">
        <v>458</v>
      </c>
      <c r="B10" s="10" t="s">
        <v>459</v>
      </c>
      <c r="C10" s="10" t="s">
        <v>460</v>
      </c>
      <c r="D10" s="12" t="s">
        <v>31</v>
      </c>
      <c r="E10" s="10" t="str">
        <f aca="false">IFERROR(INDEX('Thành viên'!$B$6:$B$10,MATCH($D10,'Thành viên'!$A$6:$A$10,0))&amp;"","")</f>
        <v/>
      </c>
    </row>
    <row r="11" customFormat="false" ht="15" hidden="false" customHeight="false" outlineLevel="0" collapsed="false">
      <c r="A11" s="10" t="s">
        <v>461</v>
      </c>
      <c r="B11" s="10" t="s">
        <v>462</v>
      </c>
      <c r="C11" s="10" t="s">
        <v>460</v>
      </c>
      <c r="D11" s="12" t="s">
        <v>31</v>
      </c>
      <c r="E11" s="10" t="str">
        <f aca="false">IFERROR(INDEX('Thành viên'!$B$6:$B$10,MATCH($D11,'Thành viên'!$A$6:$A$10,0))&amp;"","")</f>
        <v/>
      </c>
    </row>
    <row r="12" customFormat="false" ht="15" hidden="false" customHeight="false" outlineLevel="0" collapsed="false">
      <c r="A12" s="10" t="s">
        <v>463</v>
      </c>
      <c r="B12" s="10" t="s">
        <v>464</v>
      </c>
      <c r="C12" s="10" t="s">
        <v>460</v>
      </c>
      <c r="D12" s="12" t="s">
        <v>31</v>
      </c>
      <c r="E12" s="10" t="str">
        <f aca="false">IFERROR(INDEX('Thành viên'!$B$6:$B$10,MATCH($D12,'Thành viên'!$A$6:$A$10,0))&amp;"","")</f>
        <v/>
      </c>
    </row>
    <row r="13" customFormat="false" ht="15" hidden="false" customHeight="false" outlineLevel="0" collapsed="false">
      <c r="A13" s="10" t="s">
        <v>465</v>
      </c>
      <c r="B13" s="10" t="s">
        <v>466</v>
      </c>
      <c r="C13" s="10" t="s">
        <v>467</v>
      </c>
      <c r="D13" s="12" t="s">
        <v>31</v>
      </c>
      <c r="E13" s="10" t="str">
        <f aca="false">IFERROR(INDEX('Thành viên'!$B$6:$B$10,MATCH($D13,'Thành viên'!$A$6:$A$10,0))&amp;"","")</f>
        <v/>
      </c>
    </row>
    <row r="14" customFormat="false" ht="15" hidden="false" customHeight="false" outlineLevel="0" collapsed="false">
      <c r="A14" s="10" t="s">
        <v>468</v>
      </c>
      <c r="B14" s="10" t="s">
        <v>469</v>
      </c>
      <c r="C14" s="10" t="s">
        <v>470</v>
      </c>
      <c r="D14" s="12" t="s">
        <v>31</v>
      </c>
      <c r="E14" s="10" t="str">
        <f aca="false">IFERROR(INDEX('Thành viên'!$B$6:$B$10,MATCH($D14,'Thành viên'!$A$6:$A$10,0))&amp;"","")</f>
        <v/>
      </c>
    </row>
    <row r="15" customFormat="false" ht="15" hidden="false" customHeight="false" outlineLevel="0" collapsed="false">
      <c r="A15" s="10" t="s">
        <v>471</v>
      </c>
      <c r="B15" s="10" t="s">
        <v>472</v>
      </c>
      <c r="C15" s="10" t="s">
        <v>473</v>
      </c>
      <c r="D15" s="12" t="s">
        <v>31</v>
      </c>
      <c r="E15" s="10" t="str">
        <f aca="false">IFERROR(INDEX('Thành viên'!$B$6:$B$10,MATCH($D15,'Thành viên'!$A$6:$A$10,0))&amp;"","")</f>
        <v/>
      </c>
    </row>
    <row r="16" customFormat="false" ht="15" hidden="false" customHeight="false" outlineLevel="0" collapsed="false">
      <c r="A16" s="10" t="s">
        <v>474</v>
      </c>
      <c r="B16" s="10" t="s">
        <v>475</v>
      </c>
      <c r="C16" s="10" t="s">
        <v>476</v>
      </c>
      <c r="D16" s="13" t="s">
        <v>35</v>
      </c>
      <c r="E16" s="10" t="str">
        <f aca="false">IFERROR(INDEX('Thành viên'!$B$6:$B$10,MATCH($D16,'Thành viên'!$A$6:$A$10,0))&amp;"","")</f>
        <v/>
      </c>
    </row>
    <row r="17" customFormat="false" ht="15" hidden="false" customHeight="false" outlineLevel="0" collapsed="false">
      <c r="A17" s="10" t="s">
        <v>477</v>
      </c>
      <c r="B17" s="10" t="s">
        <v>478</v>
      </c>
      <c r="C17" s="10" t="s">
        <v>473</v>
      </c>
      <c r="D17" s="13" t="s">
        <v>35</v>
      </c>
      <c r="E17" s="10" t="str">
        <f aca="false">IFERROR(INDEX('Thành viên'!$B$6:$B$10,MATCH($D17,'Thành viên'!$A$6:$A$10,0))&amp;"","")</f>
        <v/>
      </c>
    </row>
    <row r="18" customFormat="false" ht="15" hidden="false" customHeight="false" outlineLevel="0" collapsed="false">
      <c r="A18" s="10" t="s">
        <v>479</v>
      </c>
      <c r="B18" s="10" t="s">
        <v>480</v>
      </c>
      <c r="C18" s="10" t="s">
        <v>473</v>
      </c>
      <c r="D18" s="13" t="s">
        <v>35</v>
      </c>
      <c r="E18" s="10" t="str">
        <f aca="false">IFERROR(INDEX('Thành viên'!$B$6:$B$10,MATCH($D18,'Thành viên'!$A$6:$A$10,0))&amp;"","")</f>
        <v/>
      </c>
    </row>
    <row r="19" customFormat="false" ht="15" hidden="false" customHeight="false" outlineLevel="0" collapsed="false">
      <c r="A19" s="10" t="s">
        <v>481</v>
      </c>
      <c r="B19" s="10" t="s">
        <v>482</v>
      </c>
      <c r="C19" s="10" t="s">
        <v>473</v>
      </c>
      <c r="D19" s="13" t="s">
        <v>35</v>
      </c>
      <c r="E19" s="10" t="str">
        <f aca="false">IFERROR(INDEX('Thành viên'!$B$6:$B$10,MATCH($D19,'Thành viên'!$A$6:$A$10,0))&amp;"","")</f>
        <v/>
      </c>
    </row>
    <row r="20" customFormat="false" ht="15" hidden="false" customHeight="false" outlineLevel="0" collapsed="false">
      <c r="A20" s="10" t="s">
        <v>483</v>
      </c>
      <c r="B20" s="10" t="s">
        <v>484</v>
      </c>
      <c r="C20" s="10" t="s">
        <v>473</v>
      </c>
      <c r="D20" s="13" t="s">
        <v>35</v>
      </c>
      <c r="E20" s="10" t="str">
        <f aca="false">IFERROR(INDEX('Thành viên'!$B$6:$B$10,MATCH($D20,'Thành viên'!$A$6:$A$10,0))&amp;"","")</f>
        <v/>
      </c>
    </row>
    <row r="21" customFormat="false" ht="15" hidden="false" customHeight="false" outlineLevel="0" collapsed="false">
      <c r="A21" s="10" t="s">
        <v>485</v>
      </c>
      <c r="B21" s="10" t="s">
        <v>486</v>
      </c>
      <c r="C21" s="10" t="s">
        <v>487</v>
      </c>
      <c r="D21" s="8" t="s">
        <v>28</v>
      </c>
      <c r="E21" s="10" t="str">
        <f aca="false">IFERROR(INDEX('Thành viên'!$B$6:$B$10,MATCH($D21,'Thành viên'!$A$6:$A$10,0))&amp;"","")</f>
        <v/>
      </c>
    </row>
    <row r="22" customFormat="false" ht="15" hidden="false" customHeight="false" outlineLevel="0" collapsed="false">
      <c r="A22" s="10" t="s">
        <v>488</v>
      </c>
      <c r="B22" s="10" t="s">
        <v>489</v>
      </c>
      <c r="C22" s="10" t="s">
        <v>373</v>
      </c>
      <c r="D22" s="8" t="s">
        <v>28</v>
      </c>
      <c r="E22" s="10" t="str">
        <f aca="false">IFERROR(INDEX('Thành viên'!$B$6:$B$10,MATCH($D22,'Thành viên'!$A$6:$A$10,0))&amp;"","")</f>
        <v/>
      </c>
    </row>
    <row r="23" customFormat="false" ht="15" hidden="false" customHeight="false" outlineLevel="0" collapsed="false">
      <c r="A23" s="10" t="s">
        <v>490</v>
      </c>
      <c r="B23" s="10" t="s">
        <v>491</v>
      </c>
      <c r="C23" s="10" t="s">
        <v>379</v>
      </c>
      <c r="D23" s="8" t="s">
        <v>28</v>
      </c>
      <c r="E23" s="10" t="str">
        <f aca="false">IFERROR(INDEX('Thành viên'!$B$6:$B$10,MATCH($D23,'Thành viên'!$A$6:$A$10,0))&amp;"","")</f>
        <v/>
      </c>
    </row>
    <row r="24" customFormat="false" ht="15" hidden="false" customHeight="false" outlineLevel="0" collapsed="false">
      <c r="A24" s="10" t="s">
        <v>492</v>
      </c>
      <c r="B24" s="10" t="s">
        <v>493</v>
      </c>
      <c r="C24" s="10" t="s">
        <v>487</v>
      </c>
      <c r="D24" s="8" t="s">
        <v>28</v>
      </c>
      <c r="E24" s="10" t="str">
        <f aca="false">IFERROR(INDEX('Thành viên'!$B$6:$B$10,MATCH($D24,'Thành viên'!$A$6:$A$10,0))&amp;"","")</f>
        <v/>
      </c>
    </row>
    <row r="25" customFormat="false" ht="15" hidden="false" customHeight="false" outlineLevel="0" collapsed="false">
      <c r="A25" s="10" t="s">
        <v>494</v>
      </c>
      <c r="B25" s="10" t="s">
        <v>495</v>
      </c>
      <c r="C25" s="10" t="s">
        <v>487</v>
      </c>
      <c r="D25" s="8" t="s">
        <v>28</v>
      </c>
      <c r="E25" s="10" t="str">
        <f aca="false">IFERROR(INDEX('Thành viên'!$B$6:$B$10,MATCH($D25,'Thành viên'!$A$6:$A$10,0))&amp;"","")</f>
        <v/>
      </c>
    </row>
    <row r="26" customFormat="false" ht="15" hidden="false" customHeight="false" outlineLevel="0" collapsed="false">
      <c r="A26" s="10" t="s">
        <v>496</v>
      </c>
      <c r="B26" s="10" t="s">
        <v>497</v>
      </c>
      <c r="C26" s="10" t="s">
        <v>498</v>
      </c>
      <c r="D26" s="8" t="s">
        <v>28</v>
      </c>
      <c r="E26" s="10" t="str">
        <f aca="false">IFERROR(INDEX('Thành viên'!$B$6:$B$10,MATCH($D26,'Thành viên'!$A$6:$A$10,0))&amp;"","")</f>
        <v/>
      </c>
    </row>
    <row r="27" customFormat="false" ht="15" hidden="false" customHeight="false" outlineLevel="0" collapsed="false">
      <c r="A27" s="10" t="s">
        <v>499</v>
      </c>
      <c r="B27" s="10" t="s">
        <v>500</v>
      </c>
      <c r="C27" s="10" t="s">
        <v>331</v>
      </c>
      <c r="D27" s="11" t="s">
        <v>32</v>
      </c>
      <c r="E27" s="10" t="str">
        <f aca="false">IFERROR(INDEX('Thành viên'!$B$6:$B$10,MATCH($D27,'Thành viên'!$A$6:$A$10,0))&amp;"","")</f>
        <v/>
      </c>
    </row>
    <row r="28" customFormat="false" ht="15" hidden="false" customHeight="false" outlineLevel="0" collapsed="false">
      <c r="A28" s="10" t="s">
        <v>501</v>
      </c>
      <c r="B28" s="10" t="s">
        <v>502</v>
      </c>
      <c r="C28" s="10" t="s">
        <v>503</v>
      </c>
      <c r="D28" s="11" t="s">
        <v>32</v>
      </c>
      <c r="E28" s="10" t="str">
        <f aca="false">IFERROR(INDEX('Thành viên'!$B$6:$B$10,MATCH($D28,'Thành viên'!$A$6:$A$10,0))&amp;"","")</f>
        <v/>
      </c>
    </row>
    <row r="29" customFormat="false" ht="15" hidden="false" customHeight="false" outlineLevel="0" collapsed="false">
      <c r="A29" s="10" t="s">
        <v>504</v>
      </c>
      <c r="B29" s="10" t="s">
        <v>505</v>
      </c>
      <c r="C29" s="10" t="s">
        <v>349</v>
      </c>
      <c r="D29" s="11" t="s">
        <v>32</v>
      </c>
      <c r="E29" s="10" t="str">
        <f aca="false">IFERROR(INDEX('Thành viên'!$B$6:$B$10,MATCH($D29,'Thành viên'!$A$6:$A$10,0))&amp;"","")</f>
        <v/>
      </c>
    </row>
    <row r="30" customFormat="false" ht="15" hidden="false" customHeight="false" outlineLevel="0" collapsed="false">
      <c r="A30" s="10" t="s">
        <v>506</v>
      </c>
      <c r="B30" s="10" t="s">
        <v>507</v>
      </c>
      <c r="C30" s="10" t="s">
        <v>508</v>
      </c>
      <c r="D30" s="11" t="s">
        <v>32</v>
      </c>
      <c r="E30" s="10" t="str">
        <f aca="false">IFERROR(INDEX('Thành viên'!$B$6:$B$10,MATCH($D30,'Thành viên'!$A$6:$A$10,0))&amp;"","")</f>
        <v/>
      </c>
    </row>
    <row r="31" customFormat="false" ht="15" hidden="false" customHeight="false" outlineLevel="0" collapsed="false">
      <c r="A31" s="10" t="s">
        <v>509</v>
      </c>
      <c r="B31" s="10" t="s">
        <v>510</v>
      </c>
      <c r="C31" s="10" t="s">
        <v>508</v>
      </c>
      <c r="D31" s="11" t="s">
        <v>32</v>
      </c>
      <c r="E31" s="10" t="str">
        <f aca="false">IFERROR(INDEX('Thành viên'!$B$6:$B$10,MATCH($D31,'Thành viên'!$A$6:$A$10,0))&amp;"","")</f>
        <v/>
      </c>
    </row>
    <row r="32" customFormat="false" ht="15" hidden="false" customHeight="false" outlineLevel="0" collapsed="false">
      <c r="A32" s="10" t="s">
        <v>511</v>
      </c>
      <c r="B32" s="10" t="s">
        <v>512</v>
      </c>
      <c r="C32" s="10" t="s">
        <v>508</v>
      </c>
      <c r="D32" s="11" t="s">
        <v>32</v>
      </c>
      <c r="E32" s="10" t="str">
        <f aca="false">IFERROR(INDEX('Thành viên'!$B$6:$B$10,MATCH($D32,'Thành viên'!$A$6:$A$10,0))&amp;"","")</f>
        <v/>
      </c>
    </row>
    <row r="33" customFormat="false" ht="15" hidden="false" customHeight="false" outlineLevel="0" collapsed="false">
      <c r="A33" s="10" t="s">
        <v>513</v>
      </c>
      <c r="B33" s="10" t="s">
        <v>514</v>
      </c>
      <c r="C33" s="10" t="s">
        <v>508</v>
      </c>
      <c r="D33" s="11" t="s">
        <v>32</v>
      </c>
      <c r="E33" s="10" t="str">
        <f aca="false">IFERROR(INDEX('Thành viên'!$B$6:$B$10,MATCH($D33,'Thành viên'!$A$6:$A$10,0))&amp;"","")</f>
        <v/>
      </c>
    </row>
    <row r="34" customFormat="false" ht="15" hidden="false" customHeight="false" outlineLevel="0" collapsed="false">
      <c r="A34" s="10" t="s">
        <v>515</v>
      </c>
      <c r="B34" s="10" t="s">
        <v>516</v>
      </c>
      <c r="C34" s="10" t="s">
        <v>517</v>
      </c>
      <c r="D34" s="11" t="s">
        <v>32</v>
      </c>
      <c r="E34" s="10" t="str">
        <f aca="false">IFERROR(INDEX('Thành viên'!$B$6:$B$10,MATCH($D34,'Thành viên'!$A$6:$A$10,0))&amp;"","")</f>
        <v/>
      </c>
    </row>
  </sheetData>
  <autoFilter ref="A4:E34"/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9AB8A6"/>
    <pageSetUpPr fitToPage="false"/>
  </sheetPr>
  <dimension ref="A1:E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xSplit="0" ySplit="4" topLeftCell="A5" activePane="bottomLeft" state="frozen"/>
      <selection pane="bottomLeft" activeCell="A5" sqref="A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7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4" t="s">
        <v>518</v>
      </c>
    </row>
    <row r="2" customFormat="false" ht="30" hidden="false" customHeight="true" outlineLevel="0" collapsed="false">
      <c r="A2" s="5" t="s">
        <v>519</v>
      </c>
      <c r="B2" s="5"/>
      <c r="C2" s="5"/>
      <c r="D2" s="5"/>
      <c r="E2" s="5"/>
    </row>
    <row r="4" customFormat="false" ht="15" hidden="false" customHeight="false" outlineLevel="0" collapsed="false">
      <c r="A4" s="7" t="s">
        <v>520</v>
      </c>
      <c r="B4" s="7" t="s">
        <v>521</v>
      </c>
      <c r="C4" s="7" t="s">
        <v>45</v>
      </c>
      <c r="D4" s="7" t="s">
        <v>22</v>
      </c>
    </row>
    <row r="5" customFormat="false" ht="15" hidden="false" customHeight="false" outlineLevel="0" collapsed="false">
      <c r="A5" s="10"/>
      <c r="B5" s="10" t="s">
        <v>522</v>
      </c>
      <c r="C5" s="8" t="s">
        <v>28</v>
      </c>
      <c r="D5" s="10" t="str">
        <f aca="false">IFERROR(INDEX('Thành viên'!$B$6:$B$10,MATCH($C5,'Thành viên'!$A$6:$A$10,0))&amp;"","")</f>
        <v/>
      </c>
    </row>
    <row r="6" customFormat="false" ht="15" hidden="false" customHeight="true" outlineLevel="0" collapsed="false">
      <c r="A6" s="22" t="s">
        <v>523</v>
      </c>
      <c r="B6" s="22"/>
      <c r="C6" s="22"/>
      <c r="D6" s="22"/>
    </row>
    <row r="7" customFormat="false" ht="15" hidden="false" customHeight="false" outlineLevel="0" collapsed="false">
      <c r="A7" s="10" t="s">
        <v>524</v>
      </c>
      <c r="B7" s="10" t="s">
        <v>525</v>
      </c>
      <c r="C7" s="8" t="s">
        <v>28</v>
      </c>
      <c r="D7" s="10" t="str">
        <f aca="false">IFERROR(INDEX('Thành viên'!$B$6:$B$10,MATCH($C7,'Thành viên'!$A$6:$A$10,0))&amp;"","")</f>
        <v/>
      </c>
    </row>
    <row r="8" customFormat="false" ht="15" hidden="false" customHeight="false" outlineLevel="0" collapsed="false">
      <c r="A8" s="10" t="s">
        <v>526</v>
      </c>
      <c r="B8" s="10" t="s">
        <v>527</v>
      </c>
      <c r="C8" s="8" t="s">
        <v>28</v>
      </c>
      <c r="D8" s="10" t="str">
        <f aca="false">IFERROR(INDEX('Thành viên'!$B$6:$B$10,MATCH($C8,'Thành viên'!$A$6:$A$10,0))&amp;"","")</f>
        <v/>
      </c>
    </row>
    <row r="9" customFormat="false" ht="15" hidden="false" customHeight="false" outlineLevel="0" collapsed="false">
      <c r="A9" s="10" t="s">
        <v>528</v>
      </c>
      <c r="B9" s="10" t="s">
        <v>529</v>
      </c>
      <c r="C9" s="8" t="s">
        <v>28</v>
      </c>
      <c r="D9" s="10" t="str">
        <f aca="false">IFERROR(INDEX('Thành viên'!$B$6:$B$10,MATCH($C9,'Thành viên'!$A$6:$A$10,0))&amp;"","")</f>
        <v/>
      </c>
    </row>
    <row r="10" customFormat="false" ht="15" hidden="false" customHeight="false" outlineLevel="0" collapsed="false">
      <c r="A10" s="10" t="s">
        <v>148</v>
      </c>
      <c r="B10" s="10" t="s">
        <v>147</v>
      </c>
      <c r="C10" s="12" t="s">
        <v>31</v>
      </c>
      <c r="D10" s="10" t="str">
        <f aca="false">IFERROR(INDEX('Thành viên'!$B$6:$B$10,MATCH($C10,'Thành viên'!$A$6:$A$10,0))&amp;"","")</f>
        <v/>
      </c>
    </row>
    <row r="11" customFormat="false" ht="15" hidden="false" customHeight="true" outlineLevel="0" collapsed="false">
      <c r="A11" s="22" t="s">
        <v>530</v>
      </c>
      <c r="B11" s="22"/>
      <c r="C11" s="22"/>
      <c r="D11" s="22"/>
    </row>
    <row r="12" customFormat="false" ht="15" hidden="false" customHeight="false" outlineLevel="0" collapsed="false">
      <c r="A12" s="10" t="s">
        <v>531</v>
      </c>
      <c r="B12" s="10" t="s">
        <v>532</v>
      </c>
      <c r="C12" s="8" t="s">
        <v>28</v>
      </c>
      <c r="D12" s="10" t="str">
        <f aca="false">IFERROR(INDEX('Thành viên'!$B$6:$B$10,MATCH($C12,'Thành viên'!$A$6:$A$10,0))&amp;"","")</f>
        <v/>
      </c>
    </row>
    <row r="13" customFormat="false" ht="15" hidden="false" customHeight="false" outlineLevel="0" collapsed="false">
      <c r="A13" s="10" t="s">
        <v>533</v>
      </c>
      <c r="B13" s="10" t="s">
        <v>534</v>
      </c>
      <c r="C13" s="8" t="s">
        <v>28</v>
      </c>
      <c r="D13" s="10" t="str">
        <f aca="false">IFERROR(INDEX('Thành viên'!$B$6:$B$10,MATCH($C13,'Thành viên'!$A$6:$A$10,0))&amp;"","")</f>
        <v/>
      </c>
    </row>
    <row r="14" customFormat="false" ht="15" hidden="false" customHeight="false" outlineLevel="0" collapsed="false">
      <c r="A14" s="10" t="s">
        <v>535</v>
      </c>
      <c r="B14" s="10" t="s">
        <v>536</v>
      </c>
      <c r="C14" s="8" t="s">
        <v>28</v>
      </c>
      <c r="D14" s="10" t="str">
        <f aca="false">IFERROR(INDEX('Thành viên'!$B$6:$B$10,MATCH($C14,'Thành viên'!$A$6:$A$10,0))&amp;"","")</f>
        <v/>
      </c>
    </row>
    <row r="15" customFormat="false" ht="15" hidden="false" customHeight="false" outlineLevel="0" collapsed="false">
      <c r="A15" s="10" t="s">
        <v>537</v>
      </c>
      <c r="B15" s="10" t="s">
        <v>538</v>
      </c>
      <c r="C15" s="8" t="s">
        <v>28</v>
      </c>
      <c r="D15" s="10" t="str">
        <f aca="false">IFERROR(INDEX('Thành viên'!$B$6:$B$10,MATCH($C15,'Thành viên'!$A$6:$A$10,0))&amp;"","")</f>
        <v/>
      </c>
    </row>
    <row r="16" customFormat="false" ht="15" hidden="false" customHeight="true" outlineLevel="0" collapsed="false">
      <c r="A16" s="22" t="s">
        <v>539</v>
      </c>
      <c r="B16" s="22"/>
      <c r="C16" s="22"/>
      <c r="D16" s="22"/>
    </row>
    <row r="17" customFormat="false" ht="15" hidden="false" customHeight="false" outlineLevel="0" collapsed="false">
      <c r="A17" s="10" t="s">
        <v>540</v>
      </c>
      <c r="B17" s="10" t="s">
        <v>541</v>
      </c>
      <c r="C17" s="11" t="s">
        <v>32</v>
      </c>
      <c r="D17" s="10" t="str">
        <f aca="false">IFERROR(INDEX('Thành viên'!$B$6:$B$10,MATCH($C17,'Thành viên'!$A$6:$A$10,0))&amp;"","")</f>
        <v/>
      </c>
    </row>
    <row r="18" customFormat="false" ht="15" hidden="false" customHeight="false" outlineLevel="0" collapsed="false">
      <c r="A18" s="10" t="s">
        <v>542</v>
      </c>
      <c r="B18" s="10" t="s">
        <v>543</v>
      </c>
      <c r="C18" s="11" t="s">
        <v>32</v>
      </c>
      <c r="D18" s="10" t="str">
        <f aca="false">IFERROR(INDEX('Thành viên'!$B$6:$B$10,MATCH($C18,'Thành viên'!$A$6:$A$10,0))&amp;"","")</f>
        <v/>
      </c>
    </row>
    <row r="19" customFormat="false" ht="15" hidden="false" customHeight="false" outlineLevel="0" collapsed="false">
      <c r="A19" s="10" t="s">
        <v>544</v>
      </c>
      <c r="B19" s="10" t="s">
        <v>545</v>
      </c>
      <c r="C19" s="11" t="s">
        <v>32</v>
      </c>
      <c r="D19" s="10" t="str">
        <f aca="false">IFERROR(INDEX('Thành viên'!$B$6:$B$10,MATCH($C19,'Thành viên'!$A$6:$A$10,0))&amp;"","")</f>
        <v/>
      </c>
    </row>
    <row r="20" customFormat="false" ht="15" hidden="false" customHeight="false" outlineLevel="0" collapsed="false">
      <c r="A20" s="10" t="s">
        <v>546</v>
      </c>
      <c r="B20" s="10" t="s">
        <v>547</v>
      </c>
      <c r="C20" s="11" t="s">
        <v>32</v>
      </c>
      <c r="D20" s="10" t="str">
        <f aca="false">IFERROR(INDEX('Thành viên'!$B$6:$B$10,MATCH($C20,'Thành viên'!$A$6:$A$10,0))&amp;"","")</f>
        <v/>
      </c>
    </row>
    <row r="21" customFormat="false" ht="15" hidden="false" customHeight="false" outlineLevel="0" collapsed="false">
      <c r="A21" s="10" t="s">
        <v>548</v>
      </c>
      <c r="B21" s="10" t="s">
        <v>549</v>
      </c>
      <c r="C21" s="11" t="s">
        <v>32</v>
      </c>
      <c r="D21" s="10" t="str">
        <f aca="false">IFERROR(INDEX('Thành viên'!$B$6:$B$10,MATCH($C21,'Thành viên'!$A$6:$A$10,0))&amp;"","")</f>
        <v/>
      </c>
    </row>
    <row r="22" customFormat="false" ht="15" hidden="false" customHeight="false" outlineLevel="0" collapsed="false">
      <c r="A22" s="10" t="s">
        <v>550</v>
      </c>
      <c r="B22" s="10" t="s">
        <v>551</v>
      </c>
      <c r="C22" s="11" t="s">
        <v>32</v>
      </c>
      <c r="D22" s="10" t="str">
        <f aca="false">IFERROR(INDEX('Thành viên'!$B$6:$B$10,MATCH($C22,'Thành viên'!$A$6:$A$10,0))&amp;"","")</f>
        <v/>
      </c>
    </row>
    <row r="23" customFormat="false" ht="15" hidden="false" customHeight="false" outlineLevel="0" collapsed="false">
      <c r="A23" s="10" t="s">
        <v>552</v>
      </c>
      <c r="B23" s="10" t="s">
        <v>553</v>
      </c>
      <c r="C23" s="11" t="s">
        <v>32</v>
      </c>
      <c r="D23" s="10" t="str">
        <f aca="false">IFERROR(INDEX('Thành viên'!$B$6:$B$10,MATCH($C23,'Thành viên'!$A$6:$A$10,0))&amp;"","")</f>
        <v/>
      </c>
    </row>
    <row r="24" customFormat="false" ht="15" hidden="false" customHeight="false" outlineLevel="0" collapsed="false">
      <c r="A24" s="10" t="s">
        <v>554</v>
      </c>
      <c r="B24" s="10" t="s">
        <v>555</v>
      </c>
      <c r="C24" s="11" t="s">
        <v>32</v>
      </c>
      <c r="D24" s="10" t="str">
        <f aca="false">IFERROR(INDEX('Thành viên'!$B$6:$B$10,MATCH($C24,'Thành viên'!$A$6:$A$10,0))&amp;"","")</f>
        <v/>
      </c>
    </row>
    <row r="25" customFormat="false" ht="15" hidden="false" customHeight="true" outlineLevel="0" collapsed="false">
      <c r="A25" s="22" t="s">
        <v>556</v>
      </c>
      <c r="B25" s="22"/>
      <c r="C25" s="22"/>
      <c r="D25" s="22"/>
    </row>
    <row r="26" customFormat="false" ht="15" hidden="false" customHeight="false" outlineLevel="0" collapsed="false">
      <c r="A26" s="10" t="s">
        <v>557</v>
      </c>
      <c r="B26" s="10" t="s">
        <v>558</v>
      </c>
      <c r="C26" s="14" t="s">
        <v>40</v>
      </c>
      <c r="D26" s="10" t="str">
        <f aca="false">IFERROR(INDEX('Thành viên'!$B$6:$B$10,MATCH($C26,'Thành viên'!$A$6:$A$10,0))&amp;"","")</f>
        <v/>
      </c>
    </row>
    <row r="27" customFormat="false" ht="15" hidden="false" customHeight="false" outlineLevel="0" collapsed="false">
      <c r="A27" s="10" t="s">
        <v>559</v>
      </c>
      <c r="B27" s="10" t="s">
        <v>560</v>
      </c>
      <c r="C27" s="14" t="s">
        <v>40</v>
      </c>
      <c r="D27" s="10" t="str">
        <f aca="false">IFERROR(INDEX('Thành viên'!$B$6:$B$10,MATCH($C27,'Thành viên'!$A$6:$A$10,0))&amp;"","")</f>
        <v/>
      </c>
    </row>
    <row r="28" customFormat="false" ht="15" hidden="false" customHeight="false" outlineLevel="0" collapsed="false">
      <c r="A28" s="10" t="s">
        <v>123</v>
      </c>
      <c r="B28" s="10" t="s">
        <v>561</v>
      </c>
      <c r="C28" s="11" t="s">
        <v>32</v>
      </c>
      <c r="D28" s="10" t="str">
        <f aca="false">IFERROR(INDEX('Thành viên'!$B$6:$B$10,MATCH($C28,'Thành viên'!$A$6:$A$10,0))&amp;"","")</f>
        <v/>
      </c>
    </row>
    <row r="29" customFormat="false" ht="15" hidden="false" customHeight="false" outlineLevel="0" collapsed="false">
      <c r="A29" s="10" t="s">
        <v>135</v>
      </c>
      <c r="B29" s="10" t="s">
        <v>133</v>
      </c>
      <c r="C29" s="11" t="s">
        <v>32</v>
      </c>
      <c r="D29" s="10" t="str">
        <f aca="false">IFERROR(INDEX('Thành viên'!$B$6:$B$10,MATCH($C29,'Thành viên'!$A$6:$A$10,0))&amp;"","")</f>
        <v/>
      </c>
    </row>
    <row r="30" customFormat="false" ht="15" hidden="false" customHeight="false" outlineLevel="0" collapsed="false">
      <c r="A30" s="10" t="s">
        <v>562</v>
      </c>
      <c r="B30" s="10" t="s">
        <v>563</v>
      </c>
      <c r="C30" s="12" t="s">
        <v>31</v>
      </c>
      <c r="D30" s="10" t="str">
        <f aca="false">IFERROR(INDEX('Thành viên'!$B$6:$B$10,MATCH($C30,'Thành viên'!$A$6:$A$10,0))&amp;"","")</f>
        <v/>
      </c>
    </row>
    <row r="31" customFormat="false" ht="15" hidden="false" customHeight="false" outlineLevel="0" collapsed="false">
      <c r="A31" s="10" t="s">
        <v>90</v>
      </c>
      <c r="B31" s="10" t="s">
        <v>564</v>
      </c>
      <c r="C31" s="8" t="s">
        <v>28</v>
      </c>
      <c r="D31" s="10" t="str">
        <f aca="false">IFERROR(INDEX('Thành viên'!$B$6:$B$10,MATCH($C31,'Thành viên'!$A$6:$A$10,0))&amp;"","")</f>
        <v/>
      </c>
    </row>
    <row r="32" customFormat="false" ht="15" hidden="false" customHeight="false" outlineLevel="0" collapsed="false">
      <c r="A32" s="10" t="s">
        <v>98</v>
      </c>
      <c r="B32" s="10" t="s">
        <v>565</v>
      </c>
      <c r="C32" s="12" t="s">
        <v>31</v>
      </c>
      <c r="D32" s="10" t="str">
        <f aca="false">IFERROR(INDEX('Thành viên'!$B$6:$B$10,MATCH($C32,'Thành viên'!$A$6:$A$10,0))&amp;"","")</f>
        <v/>
      </c>
    </row>
    <row r="33" customFormat="false" ht="15" hidden="false" customHeight="false" outlineLevel="0" collapsed="false">
      <c r="A33" s="10" t="s">
        <v>189</v>
      </c>
      <c r="B33" s="10" t="s">
        <v>566</v>
      </c>
      <c r="C33" s="14" t="s">
        <v>40</v>
      </c>
      <c r="D33" s="10" t="str">
        <f aca="false">IFERROR(INDEX('Thành viên'!$B$6:$B$10,MATCH($C33,'Thành viên'!$A$6:$A$10,0))&amp;"","")</f>
        <v/>
      </c>
    </row>
    <row r="34" customFormat="false" ht="15" hidden="false" customHeight="false" outlineLevel="0" collapsed="false">
      <c r="A34" s="10" t="s">
        <v>194</v>
      </c>
      <c r="B34" s="10" t="s">
        <v>567</v>
      </c>
      <c r="C34" s="14" t="s">
        <v>40</v>
      </c>
      <c r="D34" s="10" t="str">
        <f aca="false">IFERROR(INDEX('Thành viên'!$B$6:$B$10,MATCH($C34,'Thành viên'!$A$6:$A$10,0))&amp;"","")</f>
        <v/>
      </c>
    </row>
    <row r="35" customFormat="false" ht="15" hidden="false" customHeight="false" outlineLevel="0" collapsed="false">
      <c r="A35" s="10" t="s">
        <v>198</v>
      </c>
      <c r="B35" s="10" t="s">
        <v>568</v>
      </c>
      <c r="C35" s="14" t="s">
        <v>40</v>
      </c>
      <c r="D35" s="10" t="str">
        <f aca="false">IFERROR(INDEX('Thành viên'!$B$6:$B$10,MATCH($C35,'Thành viên'!$A$6:$A$10,0))&amp;"","")</f>
        <v/>
      </c>
    </row>
    <row r="36" customFormat="false" ht="15" hidden="false" customHeight="false" outlineLevel="0" collapsed="false">
      <c r="A36" s="10" t="s">
        <v>203</v>
      </c>
      <c r="B36" s="10" t="s">
        <v>569</v>
      </c>
      <c r="C36" s="14" t="s">
        <v>40</v>
      </c>
      <c r="D36" s="10" t="str">
        <f aca="false">IFERROR(INDEX('Thành viên'!$B$6:$B$10,MATCH($C36,'Thành viên'!$A$6:$A$10,0))&amp;"","")</f>
        <v/>
      </c>
    </row>
    <row r="37" customFormat="false" ht="15" hidden="false" customHeight="false" outlineLevel="0" collapsed="false">
      <c r="A37" s="10" t="s">
        <v>206</v>
      </c>
      <c r="B37" s="10" t="s">
        <v>205</v>
      </c>
      <c r="C37" s="14" t="s">
        <v>40</v>
      </c>
      <c r="D37" s="10" t="str">
        <f aca="false">IFERROR(INDEX('Thành viên'!$B$6:$B$10,MATCH($C37,'Thành viên'!$A$6:$A$10,0))&amp;"","")</f>
        <v/>
      </c>
    </row>
    <row r="38" customFormat="false" ht="15" hidden="false" customHeight="false" outlineLevel="0" collapsed="false">
      <c r="A38" s="10" t="s">
        <v>106</v>
      </c>
      <c r="B38" s="10" t="s">
        <v>570</v>
      </c>
      <c r="C38" s="14" t="s">
        <v>40</v>
      </c>
      <c r="D38" s="10" t="str">
        <f aca="false">IFERROR(INDEX('Thành viên'!$B$6:$B$10,MATCH($C38,'Thành viên'!$A$6:$A$10,0))&amp;"","")</f>
        <v/>
      </c>
    </row>
    <row r="39" customFormat="false" ht="15" hidden="false" customHeight="true" outlineLevel="0" collapsed="false">
      <c r="A39" s="22" t="s">
        <v>571</v>
      </c>
      <c r="B39" s="22"/>
      <c r="C39" s="22"/>
      <c r="D39" s="22"/>
    </row>
    <row r="40" customFormat="false" ht="15" hidden="false" customHeight="false" outlineLevel="0" collapsed="false">
      <c r="A40" s="10" t="s">
        <v>572</v>
      </c>
      <c r="B40" s="10" t="s">
        <v>573</v>
      </c>
      <c r="C40" s="13" t="s">
        <v>35</v>
      </c>
      <c r="D40" s="10" t="str">
        <f aca="false">IFERROR(INDEX('Thành viên'!$B$6:$B$10,MATCH($C40,'Thành viên'!$A$6:$A$10,0))&amp;"","")</f>
        <v/>
      </c>
    </row>
    <row r="41" customFormat="false" ht="15" hidden="false" customHeight="false" outlineLevel="0" collapsed="false">
      <c r="A41" s="10" t="s">
        <v>574</v>
      </c>
      <c r="B41" s="10" t="s">
        <v>575</v>
      </c>
      <c r="C41" s="13" t="s">
        <v>35</v>
      </c>
      <c r="D41" s="10" t="str">
        <f aca="false">IFERROR(INDEX('Thành viên'!$B$6:$B$10,MATCH($C41,'Thành viên'!$A$6:$A$10,0))&amp;"","")</f>
        <v/>
      </c>
    </row>
    <row r="42" customFormat="false" ht="15" hidden="false" customHeight="false" outlineLevel="0" collapsed="false">
      <c r="A42" s="10" t="s">
        <v>576</v>
      </c>
      <c r="B42" s="10" t="s">
        <v>577</v>
      </c>
      <c r="C42" s="13" t="s">
        <v>35</v>
      </c>
      <c r="D42" s="10" t="str">
        <f aca="false">IFERROR(INDEX('Thành viên'!$B$6:$B$10,MATCH($C42,'Thành viên'!$A$6:$A$10,0))&amp;"","")</f>
        <v/>
      </c>
    </row>
    <row r="43" customFormat="false" ht="15" hidden="false" customHeight="false" outlineLevel="0" collapsed="false">
      <c r="A43" s="10" t="s">
        <v>168</v>
      </c>
      <c r="B43" s="10" t="s">
        <v>578</v>
      </c>
      <c r="C43" s="13" t="s">
        <v>35</v>
      </c>
      <c r="D43" s="10" t="str">
        <f aca="false">IFERROR(INDEX('Thành viên'!$B$6:$B$10,MATCH($C43,'Thành viên'!$A$6:$A$10,0))&amp;"","")</f>
        <v/>
      </c>
    </row>
    <row r="44" customFormat="false" ht="15" hidden="false" customHeight="false" outlineLevel="0" collapsed="false">
      <c r="A44" s="10" t="s">
        <v>172</v>
      </c>
      <c r="B44" s="10" t="s">
        <v>579</v>
      </c>
      <c r="C44" s="13" t="s">
        <v>35</v>
      </c>
      <c r="D44" s="10" t="str">
        <f aca="false">IFERROR(INDEX('Thành viên'!$B$6:$B$10,MATCH($C44,'Thành viên'!$A$6:$A$10,0))&amp;"","")</f>
        <v/>
      </c>
    </row>
    <row r="45" customFormat="false" ht="15" hidden="false" customHeight="false" outlineLevel="0" collapsed="false">
      <c r="A45" s="10" t="s">
        <v>580</v>
      </c>
      <c r="B45" s="10" t="s">
        <v>581</v>
      </c>
      <c r="C45" s="13" t="s">
        <v>35</v>
      </c>
      <c r="D45" s="10" t="str">
        <f aca="false">IFERROR(INDEX('Thành viên'!$B$6:$B$10,MATCH($C45,'Thành viên'!$A$6:$A$10,0))&amp;"","")</f>
        <v/>
      </c>
    </row>
    <row r="46" customFormat="false" ht="15" hidden="false" customHeight="false" outlineLevel="0" collapsed="false">
      <c r="A46" s="10" t="s">
        <v>582</v>
      </c>
      <c r="B46" s="10" t="s">
        <v>583</v>
      </c>
      <c r="C46" s="13" t="s">
        <v>35</v>
      </c>
      <c r="D46" s="10" t="str">
        <f aca="false">IFERROR(INDEX('Thành viên'!$B$6:$B$10,MATCH($C46,'Thành viên'!$A$6:$A$10,0))&amp;"","")</f>
        <v/>
      </c>
    </row>
    <row r="47" customFormat="false" ht="15" hidden="false" customHeight="false" outlineLevel="0" collapsed="false">
      <c r="A47" s="10" t="s">
        <v>584</v>
      </c>
      <c r="B47" s="10" t="s">
        <v>585</v>
      </c>
      <c r="C47" s="13" t="s">
        <v>35</v>
      </c>
      <c r="D47" s="10" t="str">
        <f aca="false">IFERROR(INDEX('Thành viên'!$B$6:$B$10,MATCH($C47,'Thành viên'!$A$6:$A$10,0))&amp;"","")</f>
        <v/>
      </c>
    </row>
    <row r="48" customFormat="false" ht="15" hidden="false" customHeight="false" outlineLevel="0" collapsed="false">
      <c r="A48" s="10" t="s">
        <v>179</v>
      </c>
      <c r="B48" s="10" t="s">
        <v>586</v>
      </c>
      <c r="C48" s="13" t="s">
        <v>35</v>
      </c>
      <c r="D48" s="10" t="str">
        <f aca="false">IFERROR(INDEX('Thành viên'!$B$6:$B$10,MATCH($C48,'Thành viên'!$A$6:$A$10,0))&amp;"","")</f>
        <v/>
      </c>
    </row>
    <row r="49" customFormat="false" ht="15" hidden="false" customHeight="false" outlineLevel="0" collapsed="false">
      <c r="A49" s="10"/>
      <c r="B49" s="10" t="s">
        <v>587</v>
      </c>
      <c r="C49" s="8" t="s">
        <v>28</v>
      </c>
      <c r="D49" s="10" t="str">
        <f aca="false">IFERROR(INDEX('Thành viên'!$B$6:$B$10,MATCH($C49,'Thành viên'!$A$6:$A$10,0))&amp;"","")</f>
        <v/>
      </c>
    </row>
    <row r="50" customFormat="false" ht="15" hidden="false" customHeight="true" outlineLevel="0" collapsed="false">
      <c r="A50" s="22" t="s">
        <v>588</v>
      </c>
      <c r="B50" s="22"/>
      <c r="C50" s="22"/>
      <c r="D50" s="22"/>
    </row>
    <row r="51" customFormat="false" ht="15" hidden="false" customHeight="false" outlineLevel="0" collapsed="false">
      <c r="A51" s="10" t="s">
        <v>589</v>
      </c>
      <c r="B51" s="10" t="s">
        <v>590</v>
      </c>
      <c r="C51" s="8" t="s">
        <v>28</v>
      </c>
      <c r="D51" s="10" t="str">
        <f aca="false">IFERROR(INDEX('Thành viên'!$B$6:$B$10,MATCH($C51,'Thành viên'!$A$6:$A$10,0))&amp;"","")</f>
        <v/>
      </c>
    </row>
    <row r="52" customFormat="false" ht="15" hidden="false" customHeight="false" outlineLevel="0" collapsed="false">
      <c r="A52" s="10" t="s">
        <v>591</v>
      </c>
      <c r="B52" s="10" t="s">
        <v>592</v>
      </c>
      <c r="C52" s="8" t="s">
        <v>28</v>
      </c>
      <c r="D52" s="10" t="str">
        <f aca="false">IFERROR(INDEX('Thành viên'!$B$6:$B$10,MATCH($C52,'Thành viên'!$A$6:$A$10,0))&amp;"","")</f>
        <v/>
      </c>
    </row>
    <row r="53" customFormat="false" ht="15" hidden="false" customHeight="false" outlineLevel="0" collapsed="false">
      <c r="A53" s="10" t="s">
        <v>593</v>
      </c>
      <c r="B53" s="10" t="s">
        <v>594</v>
      </c>
      <c r="C53" s="8" t="s">
        <v>28</v>
      </c>
      <c r="D53" s="10" t="str">
        <f aca="false">IFERROR(INDEX('Thành viên'!$B$6:$B$10,MATCH($C53,'Thành viên'!$A$6:$A$10,0))&amp;"","")</f>
        <v/>
      </c>
    </row>
    <row r="54" customFormat="false" ht="15" hidden="false" customHeight="false" outlineLevel="0" collapsed="false">
      <c r="A54" s="10" t="s">
        <v>595</v>
      </c>
      <c r="B54" s="10" t="s">
        <v>596</v>
      </c>
      <c r="C54" s="8" t="s">
        <v>28</v>
      </c>
      <c r="D54" s="10" t="str">
        <f aca="false">IFERROR(INDEX('Thành viên'!$B$6:$B$10,MATCH($C54,'Thành viên'!$A$6:$A$10,0))&amp;"","")</f>
        <v/>
      </c>
    </row>
    <row r="55" customFormat="false" ht="15" hidden="false" customHeight="false" outlineLevel="0" collapsed="false">
      <c r="A55" s="10" t="s">
        <v>597</v>
      </c>
      <c r="B55" s="10" t="s">
        <v>598</v>
      </c>
      <c r="C55" s="8" t="s">
        <v>28</v>
      </c>
      <c r="D55" s="10" t="str">
        <f aca="false">IFERROR(INDEX('Thành viên'!$B$6:$B$10,MATCH($C55,'Thành viên'!$A$6:$A$10,0))&amp;"","")</f>
        <v/>
      </c>
    </row>
    <row r="56" customFormat="false" ht="15" hidden="false" customHeight="false" outlineLevel="0" collapsed="false">
      <c r="A56" s="10" t="s">
        <v>599</v>
      </c>
      <c r="B56" s="10" t="s">
        <v>600</v>
      </c>
      <c r="C56" s="8" t="s">
        <v>28</v>
      </c>
      <c r="D56" s="10" t="str">
        <f aca="false">IFERROR(INDEX('Thành viên'!$B$6:$B$10,MATCH($C56,'Thành viên'!$A$6:$A$10,0))&amp;"","")</f>
        <v/>
      </c>
    </row>
  </sheetData>
  <autoFilter ref="A4:D56"/>
  <mergeCells count="7">
    <mergeCell ref="A2:E2"/>
    <mergeCell ref="A6:D6"/>
    <mergeCell ref="A11:D11"/>
    <mergeCell ref="A16:D16"/>
    <mergeCell ref="A25:D25"/>
    <mergeCell ref="A39:D39"/>
    <mergeCell ref="A50:D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9AB8A6"/>
    <pageSetUpPr fitToPage="false"/>
  </sheetPr>
  <dimension ref="A1:D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xSplit="0" ySplit="4" topLeftCell="A5" activePane="bottomLeft" state="frozen"/>
      <selection pane="bottomLeft" activeCell="A5" sqref="A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5"/>
    <col collapsed="false" customWidth="true" hidden="false" outlineLevel="0" max="3" min="3" style="0" width="7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4" t="s">
        <v>601</v>
      </c>
    </row>
    <row r="2" customFormat="false" ht="30" hidden="false" customHeight="true" outlineLevel="0" collapsed="false">
      <c r="A2" s="5" t="s">
        <v>602</v>
      </c>
      <c r="B2" s="5"/>
      <c r="C2" s="5"/>
      <c r="D2" s="5"/>
    </row>
    <row r="4" customFormat="false" ht="15" hidden="false" customHeight="false" outlineLevel="0" collapsed="false">
      <c r="A4" s="7" t="s">
        <v>603</v>
      </c>
      <c r="B4" s="7" t="s">
        <v>214</v>
      </c>
      <c r="C4" s="7" t="s">
        <v>45</v>
      </c>
      <c r="D4" s="7" t="s">
        <v>22</v>
      </c>
    </row>
    <row r="5" customFormat="false" ht="15" hidden="false" customHeight="false" outlineLevel="0" collapsed="false">
      <c r="A5" s="10" t="s">
        <v>604</v>
      </c>
      <c r="B5" s="10" t="s">
        <v>605</v>
      </c>
      <c r="C5" s="12" t="s">
        <v>31</v>
      </c>
      <c r="D5" s="10" t="str">
        <f aca="false">IFERROR(INDEX('Thành viên'!$B$6:$B$10,MATCH($C5,'Thành viên'!$A$6:$A$10,0))&amp;"","")</f>
        <v/>
      </c>
    </row>
    <row r="6" customFormat="false" ht="15" hidden="false" customHeight="false" outlineLevel="0" collapsed="false">
      <c r="A6" s="10" t="s">
        <v>606</v>
      </c>
      <c r="B6" s="10" t="s">
        <v>607</v>
      </c>
      <c r="C6" s="12" t="s">
        <v>31</v>
      </c>
      <c r="D6" s="10" t="str">
        <f aca="false">IFERROR(INDEX('Thành viên'!$B$6:$B$10,MATCH($C6,'Thành viên'!$A$6:$A$10,0))&amp;"","")</f>
        <v/>
      </c>
    </row>
    <row r="7" customFormat="false" ht="15" hidden="false" customHeight="false" outlineLevel="0" collapsed="false">
      <c r="A7" s="10" t="s">
        <v>608</v>
      </c>
      <c r="B7" s="10" t="s">
        <v>609</v>
      </c>
      <c r="C7" s="12" t="s">
        <v>31</v>
      </c>
      <c r="D7" s="10" t="str">
        <f aca="false">IFERROR(INDEX('Thành viên'!$B$6:$B$10,MATCH($C7,'Thành viên'!$A$6:$A$10,0))&amp;"","")</f>
        <v/>
      </c>
    </row>
    <row r="8" customFormat="false" ht="15" hidden="false" customHeight="false" outlineLevel="0" collapsed="false">
      <c r="A8" s="10" t="s">
        <v>610</v>
      </c>
      <c r="B8" s="10" t="s">
        <v>611</v>
      </c>
      <c r="C8" s="12" t="s">
        <v>31</v>
      </c>
      <c r="D8" s="10" t="str">
        <f aca="false">IFERROR(INDEX('Thành viên'!$B$6:$B$10,MATCH($C8,'Thành viên'!$A$6:$A$10,0))&amp;"","")</f>
        <v/>
      </c>
    </row>
    <row r="9" customFormat="false" ht="15" hidden="false" customHeight="false" outlineLevel="0" collapsed="false">
      <c r="A9" s="10" t="s">
        <v>612</v>
      </c>
      <c r="B9" s="10" t="s">
        <v>613</v>
      </c>
      <c r="C9" s="8" t="s">
        <v>28</v>
      </c>
      <c r="D9" s="10" t="str">
        <f aca="false">IFERROR(INDEX('Thành viên'!$B$6:$B$10,MATCH($C9,'Thành viên'!$A$6:$A$10,0))&amp;"","")</f>
        <v/>
      </c>
    </row>
    <row r="10" customFormat="false" ht="15" hidden="false" customHeight="false" outlineLevel="0" collapsed="false">
      <c r="A10" s="10" t="s">
        <v>614</v>
      </c>
      <c r="B10" s="10" t="s">
        <v>615</v>
      </c>
      <c r="C10" s="8" t="s">
        <v>28</v>
      </c>
      <c r="D10" s="10" t="str">
        <f aca="false">IFERROR(INDEX('Thành viên'!$B$6:$B$10,MATCH($C10,'Thành viên'!$A$6:$A$10,0))&amp;"","")</f>
        <v/>
      </c>
    </row>
    <row r="11" customFormat="false" ht="15" hidden="false" customHeight="false" outlineLevel="0" collapsed="false">
      <c r="A11" s="10" t="s">
        <v>616</v>
      </c>
      <c r="B11" s="10" t="s">
        <v>617</v>
      </c>
      <c r="C11" s="12" t="s">
        <v>31</v>
      </c>
      <c r="D11" s="10" t="str">
        <f aca="false">IFERROR(INDEX('Thành viên'!$B$6:$B$10,MATCH($C11,'Thành viên'!$A$6:$A$10,0))&amp;"","")</f>
        <v/>
      </c>
    </row>
    <row r="12" customFormat="false" ht="15" hidden="false" customHeight="false" outlineLevel="0" collapsed="false">
      <c r="A12" s="10" t="s">
        <v>618</v>
      </c>
      <c r="B12" s="10" t="s">
        <v>619</v>
      </c>
      <c r="C12" s="12" t="s">
        <v>31</v>
      </c>
      <c r="D12" s="10" t="str">
        <f aca="false">IFERROR(INDEX('Thành viên'!$B$6:$B$10,MATCH($C12,'Thành viên'!$A$6:$A$10,0))&amp;"","")</f>
        <v/>
      </c>
    </row>
    <row r="13" customFormat="false" ht="15" hidden="false" customHeight="false" outlineLevel="0" collapsed="false">
      <c r="A13" s="10" t="s">
        <v>620</v>
      </c>
      <c r="B13" s="10" t="s">
        <v>621</v>
      </c>
      <c r="C13" s="12" t="s">
        <v>31</v>
      </c>
      <c r="D13" s="10" t="str">
        <f aca="false">IFERROR(INDEX('Thành viên'!$B$6:$B$10,MATCH($C13,'Thành viên'!$A$6:$A$10,0))&amp;"","")</f>
        <v/>
      </c>
    </row>
    <row r="14" customFormat="false" ht="15" hidden="false" customHeight="false" outlineLevel="0" collapsed="false">
      <c r="A14" s="10" t="s">
        <v>622</v>
      </c>
      <c r="B14" s="10" t="s">
        <v>623</v>
      </c>
      <c r="C14" s="12" t="s">
        <v>31</v>
      </c>
      <c r="D14" s="10" t="str">
        <f aca="false">IFERROR(INDEX('Thành viên'!$B$6:$B$10,MATCH($C14,'Thành viên'!$A$6:$A$10,0))&amp;"","")</f>
        <v/>
      </c>
    </row>
    <row r="15" customFormat="false" ht="15" hidden="false" customHeight="false" outlineLevel="0" collapsed="false">
      <c r="A15" s="10" t="s">
        <v>624</v>
      </c>
      <c r="B15" s="10" t="s">
        <v>625</v>
      </c>
      <c r="C15" s="12" t="s">
        <v>31</v>
      </c>
      <c r="D15" s="10" t="str">
        <f aca="false">IFERROR(INDEX('Thành viên'!$B$6:$B$10,MATCH($C15,'Thành viên'!$A$6:$A$10,0))&amp;"","")</f>
        <v/>
      </c>
    </row>
    <row r="16" customFormat="false" ht="15" hidden="false" customHeight="false" outlineLevel="0" collapsed="false">
      <c r="A16" s="10" t="s">
        <v>626</v>
      </c>
      <c r="B16" s="10" t="s">
        <v>627</v>
      </c>
      <c r="C16" s="12" t="s">
        <v>31</v>
      </c>
      <c r="D16" s="10" t="str">
        <f aca="false">IFERROR(INDEX('Thành viên'!$B$6:$B$10,MATCH($C16,'Thành viên'!$A$6:$A$10,0))&amp;"","")</f>
        <v/>
      </c>
    </row>
    <row r="17" customFormat="false" ht="15" hidden="false" customHeight="false" outlineLevel="0" collapsed="false">
      <c r="A17" s="10" t="s">
        <v>628</v>
      </c>
      <c r="B17" s="10" t="s">
        <v>629</v>
      </c>
      <c r="C17" s="12" t="s">
        <v>31</v>
      </c>
      <c r="D17" s="10" t="str">
        <f aca="false">IFERROR(INDEX('Thành viên'!$B$6:$B$10,MATCH($C17,'Thành viên'!$A$6:$A$10,0))&amp;"","")</f>
        <v/>
      </c>
    </row>
    <row r="18" customFormat="false" ht="15" hidden="false" customHeight="false" outlineLevel="0" collapsed="false">
      <c r="A18" s="10" t="s">
        <v>630</v>
      </c>
      <c r="B18" s="10" t="s">
        <v>631</v>
      </c>
      <c r="C18" s="8" t="s">
        <v>28</v>
      </c>
      <c r="D18" s="10" t="str">
        <f aca="false">IFERROR(INDEX('Thành viên'!$B$6:$B$10,MATCH($C18,'Thành viên'!$A$6:$A$10,0))&amp;"","")</f>
        <v/>
      </c>
    </row>
    <row r="19" customFormat="false" ht="15" hidden="false" customHeight="false" outlineLevel="0" collapsed="false">
      <c r="A19" s="10" t="s">
        <v>632</v>
      </c>
      <c r="B19" s="10" t="s">
        <v>633</v>
      </c>
      <c r="C19" s="12" t="s">
        <v>31</v>
      </c>
      <c r="D19" s="10" t="str">
        <f aca="false">IFERROR(INDEX('Thành viên'!$B$6:$B$10,MATCH($C19,'Thành viên'!$A$6:$A$10,0))&amp;"","")</f>
        <v/>
      </c>
    </row>
    <row r="20" customFormat="false" ht="15" hidden="false" customHeight="false" outlineLevel="0" collapsed="false">
      <c r="A20" s="10" t="s">
        <v>634</v>
      </c>
      <c r="B20" s="10" t="s">
        <v>459</v>
      </c>
      <c r="C20" s="12" t="s">
        <v>31</v>
      </c>
      <c r="D20" s="10" t="str">
        <f aca="false">IFERROR(INDEX('Thành viên'!$B$6:$B$10,MATCH($C20,'Thành viên'!$A$6:$A$10,0))&amp;"","")</f>
        <v/>
      </c>
    </row>
    <row r="21" customFormat="false" ht="15" hidden="false" customHeight="false" outlineLevel="0" collapsed="false">
      <c r="A21" s="10" t="s">
        <v>635</v>
      </c>
      <c r="B21" s="10" t="s">
        <v>636</v>
      </c>
      <c r="C21" s="13" t="s">
        <v>35</v>
      </c>
      <c r="D21" s="10" t="str">
        <f aca="false">IFERROR(INDEX('Thành viên'!$B$6:$B$10,MATCH($C21,'Thành viên'!$A$6:$A$10,0))&amp;"","")</f>
        <v/>
      </c>
    </row>
    <row r="22" customFormat="false" ht="15" hidden="false" customHeight="false" outlineLevel="0" collapsed="false">
      <c r="A22" s="10" t="s">
        <v>637</v>
      </c>
      <c r="B22" s="10" t="s">
        <v>638</v>
      </c>
      <c r="C22" s="11" t="s">
        <v>32</v>
      </c>
      <c r="D22" s="10" t="str">
        <f aca="false">IFERROR(INDEX('Thành viên'!$B$6:$B$10,MATCH($C22,'Thành viên'!$A$6:$A$10,0))&amp;"","")</f>
        <v/>
      </c>
    </row>
    <row r="23" customFormat="false" ht="15" hidden="false" customHeight="false" outlineLevel="0" collapsed="false">
      <c r="A23" s="10" t="s">
        <v>639</v>
      </c>
      <c r="B23" s="10" t="s">
        <v>640</v>
      </c>
      <c r="C23" s="12" t="s">
        <v>31</v>
      </c>
      <c r="D23" s="10" t="str">
        <f aca="false">IFERROR(INDEX('Thành viên'!$B$6:$B$10,MATCH($C23,'Thành viên'!$A$6:$A$10,0))&amp;"","")</f>
        <v/>
      </c>
    </row>
    <row r="24" customFormat="false" ht="15" hidden="false" customHeight="false" outlineLevel="0" collapsed="false">
      <c r="A24" s="10" t="s">
        <v>641</v>
      </c>
      <c r="B24" s="10" t="s">
        <v>642</v>
      </c>
      <c r="C24" s="12" t="s">
        <v>31</v>
      </c>
      <c r="D24" s="10" t="str">
        <f aca="false">IFERROR(INDEX('Thành viên'!$B$6:$B$10,MATCH($C24,'Thành viên'!$A$6:$A$10,0))&amp;"","")</f>
        <v/>
      </c>
    </row>
    <row r="25" customFormat="false" ht="15" hidden="false" customHeight="false" outlineLevel="0" collapsed="false">
      <c r="A25" s="10" t="s">
        <v>643</v>
      </c>
      <c r="B25" s="10" t="s">
        <v>644</v>
      </c>
      <c r="C25" s="13" t="s">
        <v>35</v>
      </c>
      <c r="D25" s="10" t="str">
        <f aca="false">IFERROR(INDEX('Thành viên'!$B$6:$B$10,MATCH($C25,'Thành viên'!$A$6:$A$10,0))&amp;"","")</f>
        <v/>
      </c>
    </row>
    <row r="26" customFormat="false" ht="15" hidden="false" customHeight="false" outlineLevel="0" collapsed="false">
      <c r="A26" s="10" t="s">
        <v>645</v>
      </c>
      <c r="B26" s="10" t="s">
        <v>646</v>
      </c>
      <c r="C26" s="13" t="s">
        <v>35</v>
      </c>
      <c r="D26" s="10" t="str">
        <f aca="false">IFERROR(INDEX('Thành viên'!$B$6:$B$10,MATCH($C26,'Thành viên'!$A$6:$A$10,0))&amp;"","")</f>
        <v/>
      </c>
    </row>
    <row r="27" customFormat="false" ht="15" hidden="false" customHeight="false" outlineLevel="0" collapsed="false">
      <c r="A27" s="10" t="s">
        <v>647</v>
      </c>
      <c r="B27" s="10" t="s">
        <v>648</v>
      </c>
      <c r="C27" s="13" t="s">
        <v>35</v>
      </c>
      <c r="D27" s="10" t="str">
        <f aca="false">IFERROR(INDEX('Thành viên'!$B$6:$B$10,MATCH($C27,'Thành viên'!$A$6:$A$10,0))&amp;"","")</f>
        <v/>
      </c>
    </row>
    <row r="28" customFormat="false" ht="15" hidden="false" customHeight="false" outlineLevel="0" collapsed="false">
      <c r="A28" s="10" t="s">
        <v>649</v>
      </c>
      <c r="B28" s="10" t="s">
        <v>650</v>
      </c>
      <c r="C28" s="13" t="s">
        <v>35</v>
      </c>
      <c r="D28" s="10" t="str">
        <f aca="false">IFERROR(INDEX('Thành viên'!$B$6:$B$10,MATCH($C28,'Thành viên'!$A$6:$A$10,0))&amp;"","")</f>
        <v/>
      </c>
    </row>
    <row r="29" customFormat="false" ht="15" hidden="false" customHeight="false" outlineLevel="0" collapsed="false">
      <c r="A29" s="10" t="s">
        <v>476</v>
      </c>
      <c r="B29" s="10" t="s">
        <v>651</v>
      </c>
      <c r="C29" s="13" t="s">
        <v>35</v>
      </c>
      <c r="D29" s="10" t="str">
        <f aca="false">IFERROR(INDEX('Thành viên'!$B$6:$B$10,MATCH($C29,'Thành viên'!$A$6:$A$10,0))&amp;"","")</f>
        <v/>
      </c>
    </row>
    <row r="30" customFormat="false" ht="15" hidden="false" customHeight="false" outlineLevel="0" collapsed="false">
      <c r="A30" s="10" t="s">
        <v>652</v>
      </c>
      <c r="B30" s="10" t="s">
        <v>653</v>
      </c>
      <c r="C30" s="13" t="s">
        <v>35</v>
      </c>
      <c r="D30" s="10" t="str">
        <f aca="false">IFERROR(INDEX('Thành viên'!$B$6:$B$10,MATCH($C30,'Thành viên'!$A$6:$A$10,0))&amp;"","")</f>
        <v/>
      </c>
    </row>
    <row r="31" customFormat="false" ht="15" hidden="false" customHeight="false" outlineLevel="0" collapsed="false">
      <c r="A31" s="10" t="s">
        <v>654</v>
      </c>
      <c r="B31" s="10" t="s">
        <v>655</v>
      </c>
      <c r="C31" s="13" t="s">
        <v>35</v>
      </c>
      <c r="D31" s="10" t="str">
        <f aca="false">IFERROR(INDEX('Thành viên'!$B$6:$B$10,MATCH($C31,'Thành viên'!$A$6:$A$10,0))&amp;"","")</f>
        <v/>
      </c>
    </row>
    <row r="32" customFormat="false" ht="15" hidden="false" customHeight="false" outlineLevel="0" collapsed="false">
      <c r="A32" s="10" t="s">
        <v>656</v>
      </c>
      <c r="B32" s="10" t="s">
        <v>657</v>
      </c>
      <c r="C32" s="13" t="s">
        <v>35</v>
      </c>
      <c r="D32" s="10" t="str">
        <f aca="false">IFERROR(INDEX('Thành viên'!$B$6:$B$10,MATCH($C32,'Thành viên'!$A$6:$A$10,0))&amp;"","")</f>
        <v/>
      </c>
    </row>
    <row r="33" customFormat="false" ht="15" hidden="false" customHeight="false" outlineLevel="0" collapsed="false">
      <c r="A33" s="10" t="s">
        <v>658</v>
      </c>
      <c r="B33" s="10" t="s">
        <v>659</v>
      </c>
      <c r="C33" s="11" t="s">
        <v>32</v>
      </c>
      <c r="D33" s="10" t="str">
        <f aca="false">IFERROR(INDEX('Thành viên'!$B$6:$B$10,MATCH($C33,'Thành viên'!$A$6:$A$10,0))&amp;"","")</f>
        <v/>
      </c>
    </row>
    <row r="34" customFormat="false" ht="15" hidden="false" customHeight="false" outlineLevel="0" collapsed="false">
      <c r="A34" s="10" t="s">
        <v>660</v>
      </c>
      <c r="B34" s="10" t="s">
        <v>661</v>
      </c>
      <c r="C34" s="11" t="s">
        <v>32</v>
      </c>
      <c r="D34" s="10" t="str">
        <f aca="false">IFERROR(INDEX('Thành viên'!$B$6:$B$10,MATCH($C34,'Thành viên'!$A$6:$A$10,0))&amp;"","")</f>
        <v/>
      </c>
    </row>
    <row r="35" customFormat="false" ht="15" hidden="false" customHeight="false" outlineLevel="0" collapsed="false">
      <c r="A35" s="10" t="s">
        <v>662</v>
      </c>
      <c r="B35" s="10" t="s">
        <v>663</v>
      </c>
      <c r="C35" s="11" t="s">
        <v>32</v>
      </c>
      <c r="D35" s="10" t="str">
        <f aca="false">IFERROR(INDEX('Thành viên'!$B$6:$B$10,MATCH($C35,'Thành viên'!$A$6:$A$10,0))&amp;"","")</f>
        <v/>
      </c>
    </row>
    <row r="36" customFormat="false" ht="15" hidden="false" customHeight="false" outlineLevel="0" collapsed="false">
      <c r="A36" s="10" t="s">
        <v>664</v>
      </c>
      <c r="B36" s="10" t="s">
        <v>665</v>
      </c>
      <c r="C36" s="11" t="s">
        <v>32</v>
      </c>
      <c r="D36" s="10" t="str">
        <f aca="false">IFERROR(INDEX('Thành viên'!$B$6:$B$10,MATCH($C36,'Thành viên'!$A$6:$A$10,0))&amp;"","")</f>
        <v/>
      </c>
    </row>
    <row r="37" customFormat="false" ht="15" hidden="false" customHeight="false" outlineLevel="0" collapsed="false">
      <c r="A37" s="10" t="s">
        <v>666</v>
      </c>
      <c r="B37" s="10" t="s">
        <v>667</v>
      </c>
      <c r="C37" s="11" t="s">
        <v>32</v>
      </c>
      <c r="D37" s="10" t="str">
        <f aca="false">IFERROR(INDEX('Thành viên'!$B$6:$B$10,MATCH($C37,'Thành viên'!$A$6:$A$10,0))&amp;"","")</f>
        <v/>
      </c>
    </row>
    <row r="38" customFormat="false" ht="15" hidden="false" customHeight="false" outlineLevel="0" collapsed="false">
      <c r="A38" s="10" t="s">
        <v>668</v>
      </c>
      <c r="B38" s="10" t="s">
        <v>669</v>
      </c>
      <c r="C38" s="11" t="s">
        <v>32</v>
      </c>
      <c r="D38" s="10" t="str">
        <f aca="false">IFERROR(INDEX('Thành viên'!$B$6:$B$10,MATCH($C38,'Thành viên'!$A$6:$A$10,0))&amp;"","")</f>
        <v/>
      </c>
    </row>
    <row r="39" customFormat="false" ht="15" hidden="false" customHeight="false" outlineLevel="0" collapsed="false">
      <c r="A39" s="10" t="s">
        <v>670</v>
      </c>
      <c r="B39" s="10" t="s">
        <v>512</v>
      </c>
      <c r="C39" s="11" t="s">
        <v>32</v>
      </c>
      <c r="D39" s="10" t="str">
        <f aca="false">IFERROR(INDEX('Thành viên'!$B$6:$B$10,MATCH($C39,'Thành viên'!$A$6:$A$10,0))&amp;"","")</f>
        <v/>
      </c>
    </row>
    <row r="40" customFormat="false" ht="15" hidden="false" customHeight="false" outlineLevel="0" collapsed="false">
      <c r="A40" s="10" t="s">
        <v>671</v>
      </c>
      <c r="B40" s="10" t="s">
        <v>672</v>
      </c>
      <c r="C40" s="11" t="s">
        <v>32</v>
      </c>
      <c r="D40" s="10" t="str">
        <f aca="false">IFERROR(INDEX('Thành viên'!$B$6:$B$10,MATCH($C40,'Thành viên'!$A$6:$A$10,0))&amp;"","")</f>
        <v/>
      </c>
    </row>
    <row r="41" customFormat="false" ht="15" hidden="false" customHeight="false" outlineLevel="0" collapsed="false">
      <c r="A41" s="10" t="s">
        <v>673</v>
      </c>
      <c r="B41" s="10" t="s">
        <v>674</v>
      </c>
      <c r="C41" s="8" t="s">
        <v>28</v>
      </c>
      <c r="D41" s="10" t="str">
        <f aca="false">IFERROR(INDEX('Thành viên'!$B$6:$B$10,MATCH($C41,'Thành viên'!$A$6:$A$10,0))&amp;"","")</f>
        <v/>
      </c>
    </row>
    <row r="42" customFormat="false" ht="15" hidden="false" customHeight="false" outlineLevel="0" collapsed="false">
      <c r="A42" s="10" t="s">
        <v>675</v>
      </c>
      <c r="B42" s="10" t="s">
        <v>676</v>
      </c>
      <c r="C42" s="8" t="s">
        <v>28</v>
      </c>
      <c r="D42" s="10" t="str">
        <f aca="false">IFERROR(INDEX('Thành viên'!$B$6:$B$10,MATCH($C42,'Thành viên'!$A$6:$A$10,0))&amp;"","")</f>
        <v/>
      </c>
    </row>
    <row r="43" customFormat="false" ht="15" hidden="false" customHeight="false" outlineLevel="0" collapsed="false">
      <c r="A43" s="10" t="s">
        <v>677</v>
      </c>
      <c r="B43" s="10" t="s">
        <v>678</v>
      </c>
      <c r="C43" s="8" t="s">
        <v>28</v>
      </c>
      <c r="D43" s="10" t="str">
        <f aca="false">IFERROR(INDEX('Thành viên'!$B$6:$B$10,MATCH($C43,'Thành viên'!$A$6:$A$10,0))&amp;"","")</f>
        <v/>
      </c>
    </row>
    <row r="44" customFormat="false" ht="15" hidden="false" customHeight="false" outlineLevel="0" collapsed="false">
      <c r="A44" s="10" t="s">
        <v>679</v>
      </c>
      <c r="B44" s="10" t="s">
        <v>680</v>
      </c>
      <c r="C44" s="8" t="s">
        <v>28</v>
      </c>
      <c r="D44" s="10" t="str">
        <f aca="false">IFERROR(INDEX('Thành viên'!$B$6:$B$10,MATCH($C44,'Thành viên'!$A$6:$A$10,0))&amp;"","")</f>
        <v/>
      </c>
    </row>
    <row r="45" customFormat="false" ht="15" hidden="false" customHeight="false" outlineLevel="0" collapsed="false">
      <c r="A45" s="10" t="s">
        <v>681</v>
      </c>
      <c r="B45" s="10" t="s">
        <v>682</v>
      </c>
      <c r="C45" s="8" t="s">
        <v>28</v>
      </c>
      <c r="D45" s="10" t="str">
        <f aca="false">IFERROR(INDEX('Thành viên'!$B$6:$B$10,MATCH($C45,'Thành viên'!$A$6:$A$10,0))&amp;"","")</f>
        <v/>
      </c>
    </row>
    <row r="46" customFormat="false" ht="15" hidden="false" customHeight="false" outlineLevel="0" collapsed="false">
      <c r="A46" s="10" t="s">
        <v>683</v>
      </c>
      <c r="B46" s="10" t="s">
        <v>684</v>
      </c>
      <c r="C46" s="8" t="s">
        <v>28</v>
      </c>
      <c r="D46" s="10" t="str">
        <f aca="false">IFERROR(INDEX('Thành viên'!$B$6:$B$10,MATCH($C46,'Thành viên'!$A$6:$A$10,0))&amp;"","")</f>
        <v/>
      </c>
    </row>
    <row r="47" customFormat="false" ht="15" hidden="false" customHeight="false" outlineLevel="0" collapsed="false">
      <c r="A47" s="10" t="s">
        <v>685</v>
      </c>
      <c r="B47" s="10" t="s">
        <v>686</v>
      </c>
      <c r="C47" s="8" t="s">
        <v>28</v>
      </c>
      <c r="D47" s="10" t="str">
        <f aca="false">IFERROR(INDEX('Thành viên'!$B$6:$B$10,MATCH($C47,'Thành viên'!$A$6:$A$10,0))&amp;"","")</f>
        <v/>
      </c>
    </row>
    <row r="48" customFormat="false" ht="15" hidden="false" customHeight="false" outlineLevel="0" collapsed="false">
      <c r="A48" s="10" t="s">
        <v>687</v>
      </c>
      <c r="B48" s="10" t="s">
        <v>688</v>
      </c>
      <c r="C48" s="8" t="s">
        <v>28</v>
      </c>
      <c r="D48" s="10" t="str">
        <f aca="false">IFERROR(INDEX('Thành viên'!$B$6:$B$10,MATCH($C48,'Thành viên'!$A$6:$A$10,0))&amp;"","")</f>
        <v/>
      </c>
    </row>
    <row r="49" customFormat="false" ht="15" hidden="false" customHeight="false" outlineLevel="0" collapsed="false">
      <c r="A49" s="10" t="s">
        <v>689</v>
      </c>
      <c r="B49" s="10" t="s">
        <v>690</v>
      </c>
      <c r="C49" s="8" t="s">
        <v>28</v>
      </c>
      <c r="D49" s="10" t="str">
        <f aca="false">IFERROR(INDEX('Thành viên'!$B$6:$B$10,MATCH($C49,'Thành viên'!$A$6:$A$10,0))&amp;"","")</f>
        <v/>
      </c>
    </row>
    <row r="50" customFormat="false" ht="15" hidden="false" customHeight="false" outlineLevel="0" collapsed="false">
      <c r="A50" s="10" t="s">
        <v>691</v>
      </c>
      <c r="B50" s="10" t="s">
        <v>692</v>
      </c>
      <c r="C50" s="8" t="s">
        <v>28</v>
      </c>
      <c r="D50" s="10" t="str">
        <f aca="false">IFERROR(INDEX('Thành viên'!$B$6:$B$10,MATCH($C50,'Thành viên'!$A$6:$A$10,0))&amp;"","")</f>
        <v/>
      </c>
    </row>
    <row r="51" customFormat="false" ht="15" hidden="false" customHeight="false" outlineLevel="0" collapsed="false">
      <c r="A51" s="10" t="s">
        <v>693</v>
      </c>
      <c r="B51" s="10" t="s">
        <v>694</v>
      </c>
      <c r="C51" s="8" t="s">
        <v>28</v>
      </c>
      <c r="D51" s="10" t="str">
        <f aca="false">IFERROR(INDEX('Thành viên'!$B$6:$B$10,MATCH($C51,'Thành viên'!$A$6:$A$10,0))&amp;"","")</f>
        <v/>
      </c>
    </row>
    <row r="52" customFormat="false" ht="15" hidden="false" customHeight="false" outlineLevel="0" collapsed="false">
      <c r="A52" s="10" t="s">
        <v>695</v>
      </c>
      <c r="B52" s="10" t="s">
        <v>696</v>
      </c>
      <c r="C52" s="8" t="s">
        <v>28</v>
      </c>
      <c r="D52" s="10" t="str">
        <f aca="false">IFERROR(INDEX('Thành viên'!$B$6:$B$10,MATCH($C52,'Thành viên'!$A$6:$A$10,0))&amp;"","")</f>
        <v/>
      </c>
    </row>
    <row r="53" customFormat="false" ht="15" hidden="false" customHeight="false" outlineLevel="0" collapsed="false">
      <c r="A53" s="10" t="s">
        <v>697</v>
      </c>
      <c r="B53" s="10" t="s">
        <v>698</v>
      </c>
      <c r="C53" s="14" t="s">
        <v>40</v>
      </c>
      <c r="D53" s="10" t="str">
        <f aca="false">IFERROR(INDEX('Thành viên'!$B$6:$B$10,MATCH($C53,'Thành viên'!$A$6:$A$10,0))&amp;"","")</f>
        <v/>
      </c>
    </row>
    <row r="54" customFormat="false" ht="15" hidden="false" customHeight="false" outlineLevel="0" collapsed="false">
      <c r="A54" s="10" t="s">
        <v>699</v>
      </c>
      <c r="B54" s="10" t="s">
        <v>700</v>
      </c>
      <c r="C54" s="14" t="s">
        <v>40</v>
      </c>
      <c r="D54" s="10" t="str">
        <f aca="false">IFERROR(INDEX('Thành viên'!$B$6:$B$10,MATCH($C54,'Thành viên'!$A$6:$A$10,0))&amp;"","")</f>
        <v/>
      </c>
    </row>
    <row r="55" customFormat="false" ht="15" hidden="false" customHeight="false" outlineLevel="0" collapsed="false">
      <c r="A55" s="10" t="s">
        <v>701</v>
      </c>
      <c r="B55" s="10" t="s">
        <v>702</v>
      </c>
      <c r="C55" s="14" t="s">
        <v>40</v>
      </c>
      <c r="D55" s="10" t="str">
        <f aca="false">IFERROR(INDEX('Thành viên'!$B$6:$B$10,MATCH($C55,'Thành viên'!$A$6:$A$10,0))&amp;"","")</f>
        <v/>
      </c>
    </row>
    <row r="56" customFormat="false" ht="15" hidden="false" customHeight="false" outlineLevel="0" collapsed="false">
      <c r="A56" s="10" t="s">
        <v>703</v>
      </c>
      <c r="B56" s="10" t="s">
        <v>704</v>
      </c>
      <c r="C56" s="14" t="s">
        <v>40</v>
      </c>
      <c r="D56" s="10" t="str">
        <f aca="false">IFERROR(INDEX('Thành viên'!$B$6:$B$10,MATCH($C56,'Thành viên'!$A$6:$A$10,0))&amp;"","")</f>
        <v/>
      </c>
    </row>
  </sheetData>
  <autoFilter ref="A4:D56"/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9AB8A6"/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xSplit="0" ySplit="4" topLeftCell="A5" activePane="bottomLeft" state="frozen"/>
      <selection pane="bottomLeft" activeCell="A5" sqref="A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62"/>
    <col collapsed="false" customWidth="true" hidden="false" outlineLevel="0" max="6" min="6" style="0" width="7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4" t="s">
        <v>705</v>
      </c>
    </row>
    <row r="2" customFormat="false" ht="30" hidden="false" customHeight="true" outlineLevel="0" collapsed="false">
      <c r="A2" s="5" t="s">
        <v>706</v>
      </c>
      <c r="B2" s="5"/>
      <c r="C2" s="5"/>
      <c r="D2" s="5"/>
      <c r="E2" s="5"/>
      <c r="F2" s="5"/>
      <c r="G2" s="5"/>
    </row>
    <row r="4" customFormat="false" ht="15" hidden="false" customHeight="false" outlineLevel="0" collapsed="false">
      <c r="A4" s="7" t="s">
        <v>707</v>
      </c>
      <c r="B4" s="7" t="s">
        <v>708</v>
      </c>
      <c r="C4" s="7" t="s">
        <v>709</v>
      </c>
      <c r="D4" s="7" t="s">
        <v>710</v>
      </c>
      <c r="E4" s="7" t="s">
        <v>711</v>
      </c>
      <c r="F4" s="7" t="s">
        <v>45</v>
      </c>
      <c r="G4" s="7" t="s">
        <v>22</v>
      </c>
    </row>
    <row r="5" customFormat="false" ht="15" hidden="false" customHeight="false" outlineLevel="0" collapsed="false">
      <c r="A5" s="10" t="n">
        <v>1</v>
      </c>
      <c r="B5" s="10" t="s">
        <v>712</v>
      </c>
      <c r="C5" s="10" t="s">
        <v>713</v>
      </c>
      <c r="D5" s="10" t="s">
        <v>714</v>
      </c>
      <c r="E5" s="10" t="s">
        <v>715</v>
      </c>
      <c r="F5" s="12" t="s">
        <v>31</v>
      </c>
      <c r="G5" s="10" t="str">
        <f aca="false">IFERROR(INDEX('Thành viên'!$B$6:$B$10,MATCH($F5,'Thành viên'!$A$6:$A$10,0))&amp;"","")</f>
        <v/>
      </c>
    </row>
    <row r="6" customFormat="false" ht="15" hidden="false" customHeight="false" outlineLevel="0" collapsed="false">
      <c r="A6" s="10" t="n">
        <v>2</v>
      </c>
      <c r="B6" s="10" t="s">
        <v>712</v>
      </c>
      <c r="C6" s="10" t="s">
        <v>713</v>
      </c>
      <c r="D6" s="10" t="s">
        <v>716</v>
      </c>
      <c r="E6" s="10" t="s">
        <v>717</v>
      </c>
      <c r="F6" s="12" t="s">
        <v>31</v>
      </c>
      <c r="G6" s="10" t="str">
        <f aca="false">IFERROR(INDEX('Thành viên'!$B$6:$B$10,MATCH($F6,'Thành viên'!$A$6:$A$10,0))&amp;"","")</f>
        <v/>
      </c>
    </row>
    <row r="7" customFormat="false" ht="15" hidden="false" customHeight="false" outlineLevel="0" collapsed="false">
      <c r="A7" s="10" t="n">
        <v>3</v>
      </c>
      <c r="B7" s="10" t="s">
        <v>718</v>
      </c>
      <c r="C7" s="10" t="s">
        <v>719</v>
      </c>
      <c r="D7" s="10" t="s">
        <v>714</v>
      </c>
      <c r="E7" s="10" t="s">
        <v>720</v>
      </c>
      <c r="F7" s="12" t="s">
        <v>31</v>
      </c>
      <c r="G7" s="10" t="str">
        <f aca="false">IFERROR(INDEX('Thành viên'!$B$6:$B$10,MATCH($F7,'Thành viên'!$A$6:$A$10,0))&amp;"","")</f>
        <v/>
      </c>
    </row>
    <row r="8" customFormat="false" ht="15" hidden="false" customHeight="false" outlineLevel="0" collapsed="false">
      <c r="A8" s="10" t="n">
        <v>4</v>
      </c>
      <c r="B8" s="10" t="s">
        <v>718</v>
      </c>
      <c r="C8" s="10" t="s">
        <v>721</v>
      </c>
      <c r="D8" s="10" t="s">
        <v>714</v>
      </c>
      <c r="E8" s="10" t="s">
        <v>722</v>
      </c>
      <c r="F8" s="12" t="s">
        <v>31</v>
      </c>
      <c r="G8" s="10" t="str">
        <f aca="false">IFERROR(INDEX('Thành viên'!$B$6:$B$10,MATCH($F8,'Thành viên'!$A$6:$A$10,0))&amp;"","")</f>
        <v/>
      </c>
    </row>
    <row r="9" customFormat="false" ht="15" hidden="false" customHeight="false" outlineLevel="0" collapsed="false">
      <c r="A9" s="10" t="n">
        <v>5</v>
      </c>
      <c r="B9" s="10" t="s">
        <v>259</v>
      </c>
      <c r="C9" s="10" t="s">
        <v>723</v>
      </c>
      <c r="D9" s="10" t="s">
        <v>714</v>
      </c>
      <c r="E9" s="10" t="s">
        <v>724</v>
      </c>
      <c r="F9" s="13" t="s">
        <v>35</v>
      </c>
      <c r="G9" s="10" t="str">
        <f aca="false">IFERROR(INDEX('Thành viên'!$B$6:$B$10,MATCH($F9,'Thành viên'!$A$6:$A$10,0))&amp;"","")</f>
        <v/>
      </c>
    </row>
    <row r="10" customFormat="false" ht="15" hidden="false" customHeight="false" outlineLevel="0" collapsed="false">
      <c r="A10" s="10" t="n">
        <v>6</v>
      </c>
      <c r="B10" s="10" t="s">
        <v>259</v>
      </c>
      <c r="C10" s="10" t="s">
        <v>725</v>
      </c>
      <c r="D10" s="10" t="s">
        <v>714</v>
      </c>
      <c r="E10" s="10" t="s">
        <v>726</v>
      </c>
      <c r="F10" s="13" t="s">
        <v>35</v>
      </c>
      <c r="G10" s="10" t="str">
        <f aca="false">IFERROR(INDEX('Thành viên'!$B$6:$B$10,MATCH($F10,'Thành viên'!$A$6:$A$10,0))&amp;"","")</f>
        <v/>
      </c>
    </row>
    <row r="11" customFormat="false" ht="15" hidden="false" customHeight="false" outlineLevel="0" collapsed="false">
      <c r="A11" s="10" t="n">
        <v>7</v>
      </c>
      <c r="B11" s="10" t="s">
        <v>259</v>
      </c>
      <c r="C11" s="10" t="s">
        <v>727</v>
      </c>
      <c r="D11" s="10" t="s">
        <v>714</v>
      </c>
      <c r="E11" s="10" t="s">
        <v>728</v>
      </c>
      <c r="F11" s="13" t="s">
        <v>35</v>
      </c>
      <c r="G11" s="10" t="str">
        <f aca="false">IFERROR(INDEX('Thành viên'!$B$6:$B$10,MATCH($F11,'Thành viên'!$A$6:$A$10,0))&amp;"","")</f>
        <v/>
      </c>
    </row>
    <row r="12" customFormat="false" ht="15" hidden="false" customHeight="false" outlineLevel="0" collapsed="false">
      <c r="A12" s="10" t="n">
        <v>8</v>
      </c>
      <c r="B12" s="10" t="s">
        <v>729</v>
      </c>
      <c r="C12" s="10" t="s">
        <v>730</v>
      </c>
      <c r="D12" s="10" t="s">
        <v>714</v>
      </c>
      <c r="E12" s="10" t="s">
        <v>731</v>
      </c>
      <c r="F12" s="11" t="s">
        <v>32</v>
      </c>
      <c r="G12" s="10" t="str">
        <f aca="false">IFERROR(INDEX('Thành viên'!$B$6:$B$10,MATCH($F12,'Thành viên'!$A$6:$A$10,0))&amp;"","")</f>
        <v/>
      </c>
    </row>
    <row r="13" customFormat="false" ht="15" hidden="false" customHeight="false" outlineLevel="0" collapsed="false">
      <c r="A13" s="10" t="n">
        <v>9</v>
      </c>
      <c r="B13" s="10" t="s">
        <v>729</v>
      </c>
      <c r="C13" s="10" t="s">
        <v>732</v>
      </c>
      <c r="D13" s="10" t="s">
        <v>714</v>
      </c>
      <c r="E13" s="10" t="s">
        <v>733</v>
      </c>
      <c r="F13" s="11" t="s">
        <v>32</v>
      </c>
      <c r="G13" s="10" t="str">
        <f aca="false">IFERROR(INDEX('Thành viên'!$B$6:$B$10,MATCH($F13,'Thành viên'!$A$6:$A$10,0))&amp;"","")</f>
        <v/>
      </c>
    </row>
    <row r="14" customFormat="false" ht="15" hidden="false" customHeight="false" outlineLevel="0" collapsed="false">
      <c r="A14" s="10" t="n">
        <v>10</v>
      </c>
      <c r="B14" s="10" t="s">
        <v>729</v>
      </c>
      <c r="C14" s="10" t="s">
        <v>734</v>
      </c>
      <c r="D14" s="10" t="s">
        <v>714</v>
      </c>
      <c r="E14" s="10" t="s">
        <v>735</v>
      </c>
      <c r="F14" s="11" t="s">
        <v>32</v>
      </c>
      <c r="G14" s="10" t="str">
        <f aca="false">IFERROR(INDEX('Thành viên'!$B$6:$B$10,MATCH($F14,'Thành viên'!$A$6:$A$10,0))&amp;"","")</f>
        <v/>
      </c>
    </row>
    <row r="15" customFormat="false" ht="15" hidden="false" customHeight="false" outlineLevel="0" collapsed="false">
      <c r="A15" s="10" t="n">
        <v>11</v>
      </c>
      <c r="B15" s="10" t="s">
        <v>729</v>
      </c>
      <c r="C15" s="10" t="s">
        <v>340</v>
      </c>
      <c r="D15" s="10" t="s">
        <v>714</v>
      </c>
      <c r="E15" s="10" t="s">
        <v>736</v>
      </c>
      <c r="F15" s="11" t="s">
        <v>32</v>
      </c>
      <c r="G15" s="10" t="str">
        <f aca="false">IFERROR(INDEX('Thành viên'!$B$6:$B$10,MATCH($F15,'Thành viên'!$A$6:$A$10,0))&amp;"","")</f>
        <v/>
      </c>
    </row>
    <row r="16" customFormat="false" ht="15" hidden="false" customHeight="false" outlineLevel="0" collapsed="false">
      <c r="A16" s="10" t="n">
        <v>12</v>
      </c>
      <c r="B16" s="10" t="s">
        <v>729</v>
      </c>
      <c r="C16" s="10" t="s">
        <v>340</v>
      </c>
      <c r="D16" s="10" t="s">
        <v>716</v>
      </c>
      <c r="E16" s="10" t="s">
        <v>737</v>
      </c>
      <c r="F16" s="11" t="s">
        <v>32</v>
      </c>
      <c r="G16" s="10" t="str">
        <f aca="false">IFERROR(INDEX('Thành viên'!$B$6:$B$10,MATCH($F16,'Thành viên'!$A$6:$A$10,0))&amp;"","")</f>
        <v/>
      </c>
    </row>
    <row r="17" customFormat="false" ht="15" hidden="false" customHeight="false" outlineLevel="0" collapsed="false">
      <c r="A17" s="10" t="n">
        <v>13</v>
      </c>
      <c r="B17" s="10" t="s">
        <v>738</v>
      </c>
      <c r="C17" s="10" t="s">
        <v>354</v>
      </c>
      <c r="D17" s="10" t="s">
        <v>714</v>
      </c>
      <c r="E17" s="10" t="s">
        <v>739</v>
      </c>
      <c r="F17" s="8" t="s">
        <v>28</v>
      </c>
      <c r="G17" s="10" t="str">
        <f aca="false">IFERROR(INDEX('Thành viên'!$B$6:$B$10,MATCH($F17,'Thành viên'!$A$6:$A$10,0))&amp;"","")</f>
        <v/>
      </c>
    </row>
    <row r="18" customFormat="false" ht="15" hidden="false" customHeight="false" outlineLevel="0" collapsed="false">
      <c r="A18" s="10" t="n">
        <v>14</v>
      </c>
      <c r="B18" s="10" t="s">
        <v>738</v>
      </c>
      <c r="C18" s="10" t="s">
        <v>740</v>
      </c>
      <c r="D18" s="10" t="s">
        <v>714</v>
      </c>
      <c r="E18" s="10" t="s">
        <v>741</v>
      </c>
      <c r="F18" s="8" t="s">
        <v>28</v>
      </c>
      <c r="G18" s="10" t="str">
        <f aca="false">IFERROR(INDEX('Thành viên'!$B$6:$B$10,MATCH($F18,'Thành viên'!$A$6:$A$10,0))&amp;"","")</f>
        <v/>
      </c>
    </row>
    <row r="19" customFormat="false" ht="15" hidden="false" customHeight="false" outlineLevel="0" collapsed="false">
      <c r="A19" s="10" t="n">
        <v>15</v>
      </c>
      <c r="B19" s="10" t="s">
        <v>738</v>
      </c>
      <c r="C19" s="10" t="s">
        <v>742</v>
      </c>
      <c r="D19" s="10" t="s">
        <v>714</v>
      </c>
      <c r="E19" s="10" t="s">
        <v>743</v>
      </c>
      <c r="F19" s="8" t="s">
        <v>28</v>
      </c>
      <c r="G19" s="10" t="str">
        <f aca="false">IFERROR(INDEX('Thành viên'!$B$6:$B$10,MATCH($F19,'Thành viên'!$A$6:$A$10,0))&amp;"","")</f>
        <v/>
      </c>
    </row>
    <row r="20" customFormat="false" ht="15" hidden="false" customHeight="false" outlineLevel="0" collapsed="false">
      <c r="A20" s="10" t="n">
        <v>16</v>
      </c>
      <c r="B20" s="10" t="s">
        <v>738</v>
      </c>
      <c r="C20" s="10" t="s">
        <v>744</v>
      </c>
      <c r="D20" s="10" t="s">
        <v>714</v>
      </c>
      <c r="E20" s="10" t="s">
        <v>745</v>
      </c>
      <c r="F20" s="8" t="s">
        <v>28</v>
      </c>
      <c r="G20" s="10" t="str">
        <f aca="false">IFERROR(INDEX('Thành viên'!$B$6:$B$10,MATCH($F20,'Thành viên'!$A$6:$A$10,0))&amp;"","")</f>
        <v/>
      </c>
    </row>
    <row r="21" customFormat="false" ht="15" hidden="false" customHeight="false" outlineLevel="0" collapsed="false">
      <c r="A21" s="10" t="n">
        <v>17</v>
      </c>
      <c r="B21" s="10" t="s">
        <v>738</v>
      </c>
      <c r="C21" s="10" t="s">
        <v>358</v>
      </c>
      <c r="D21" s="10" t="s">
        <v>714</v>
      </c>
      <c r="E21" s="10" t="s">
        <v>746</v>
      </c>
      <c r="F21" s="8" t="s">
        <v>28</v>
      </c>
      <c r="G21" s="10" t="str">
        <f aca="false">IFERROR(INDEX('Thành viên'!$B$6:$B$10,MATCH($F21,'Thành viên'!$A$6:$A$10,0))&amp;"","")</f>
        <v/>
      </c>
    </row>
    <row r="22" customFormat="false" ht="15" hidden="false" customHeight="false" outlineLevel="0" collapsed="false">
      <c r="A22" s="10" t="n">
        <v>18</v>
      </c>
      <c r="B22" s="10" t="s">
        <v>738</v>
      </c>
      <c r="C22" s="10" t="s">
        <v>380</v>
      </c>
      <c r="D22" s="10" t="s">
        <v>714</v>
      </c>
      <c r="E22" s="10" t="s">
        <v>747</v>
      </c>
      <c r="F22" s="8" t="s">
        <v>28</v>
      </c>
      <c r="G22" s="10" t="str">
        <f aca="false">IFERROR(INDEX('Thành viên'!$B$6:$B$10,MATCH($F22,'Thành viên'!$A$6:$A$10,0))&amp;"","")</f>
        <v/>
      </c>
    </row>
    <row r="23" customFormat="false" ht="15" hidden="false" customHeight="false" outlineLevel="0" collapsed="false">
      <c r="A23" s="10" t="n">
        <v>19</v>
      </c>
      <c r="B23" s="10" t="s">
        <v>738</v>
      </c>
      <c r="C23" s="10" t="s">
        <v>380</v>
      </c>
      <c r="D23" s="10" t="s">
        <v>716</v>
      </c>
      <c r="E23" s="10" t="s">
        <v>748</v>
      </c>
      <c r="F23" s="8" t="s">
        <v>28</v>
      </c>
      <c r="G23" s="10" t="str">
        <f aca="false">IFERROR(INDEX('Thành viên'!$B$6:$B$10,MATCH($F23,'Thành viên'!$A$6:$A$10,0))&amp;"","")</f>
        <v/>
      </c>
    </row>
    <row r="24" customFormat="false" ht="15" hidden="false" customHeight="false" outlineLevel="0" collapsed="false">
      <c r="A24" s="10" t="n">
        <v>20</v>
      </c>
      <c r="B24" s="10" t="s">
        <v>749</v>
      </c>
      <c r="C24" s="10" t="s">
        <v>346</v>
      </c>
      <c r="D24" s="10" t="s">
        <v>714</v>
      </c>
      <c r="E24" s="10" t="s">
        <v>750</v>
      </c>
      <c r="F24" s="11" t="s">
        <v>32</v>
      </c>
      <c r="G24" s="10" t="str">
        <f aca="false">IFERROR(INDEX('Thành viên'!$B$6:$B$10,MATCH($F24,'Thành viên'!$A$6:$A$10,0))&amp;"","")</f>
        <v/>
      </c>
    </row>
    <row r="25" customFormat="false" ht="15" hidden="false" customHeight="false" outlineLevel="0" collapsed="false">
      <c r="A25" s="10" t="n">
        <v>21</v>
      </c>
      <c r="B25" s="10" t="s">
        <v>749</v>
      </c>
      <c r="C25" s="10" t="s">
        <v>751</v>
      </c>
      <c r="D25" s="10" t="s">
        <v>714</v>
      </c>
      <c r="E25" s="10" t="s">
        <v>752</v>
      </c>
      <c r="F25" s="11" t="s">
        <v>32</v>
      </c>
      <c r="G25" s="10" t="str">
        <f aca="false">IFERROR(INDEX('Thành viên'!$B$6:$B$10,MATCH($F25,'Thành viên'!$A$6:$A$10,0))&amp;"","")</f>
        <v/>
      </c>
    </row>
    <row r="26" customFormat="false" ht="15" hidden="false" customHeight="false" outlineLevel="0" collapsed="false">
      <c r="A26" s="10" t="n">
        <v>22</v>
      </c>
      <c r="B26" s="10" t="s">
        <v>749</v>
      </c>
      <c r="C26" s="10" t="s">
        <v>350</v>
      </c>
      <c r="D26" s="10" t="s">
        <v>714</v>
      </c>
      <c r="E26" s="10" t="s">
        <v>753</v>
      </c>
      <c r="F26" s="11" t="s">
        <v>32</v>
      </c>
      <c r="G26" s="10" t="str">
        <f aca="false">IFERROR(INDEX('Thành viên'!$B$6:$B$10,MATCH($F26,'Thành viên'!$A$6:$A$10,0))&amp;"","")</f>
        <v/>
      </c>
    </row>
    <row r="27" customFormat="false" ht="15" hidden="false" customHeight="false" outlineLevel="0" collapsed="false">
      <c r="A27" s="10" t="n">
        <v>23</v>
      </c>
      <c r="B27" s="10" t="s">
        <v>749</v>
      </c>
      <c r="C27" s="10" t="s">
        <v>350</v>
      </c>
      <c r="D27" s="10" t="s">
        <v>716</v>
      </c>
      <c r="E27" s="10" t="s">
        <v>754</v>
      </c>
      <c r="F27" s="11" t="s">
        <v>32</v>
      </c>
      <c r="G27" s="10" t="str">
        <f aca="false">IFERROR(INDEX('Thành viên'!$B$6:$B$10,MATCH($F27,'Thành viên'!$A$6:$A$10,0))&amp;"","")</f>
        <v/>
      </c>
    </row>
  </sheetData>
  <autoFilter ref="A4:G27"/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9AB8A6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xSplit="0" ySplit="4" topLeftCell="A5" activePane="bottomLeft" state="frozen"/>
      <selection pane="bottomLeft" activeCell="A5" sqref="A5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22"/>
    <col collapsed="false" customWidth="true" hidden="false" outlineLevel="0" max="5" min="4" style="0" width="55"/>
    <col collapsed="false" customWidth="true" hidden="false" outlineLevel="0" max="6" min="6" style="0" width="9"/>
  </cols>
  <sheetData>
    <row r="1" customFormat="false" ht="15" hidden="false" customHeight="false" outlineLevel="0" collapsed="false">
      <c r="A1" s="4" t="s">
        <v>755</v>
      </c>
    </row>
    <row r="2" customFormat="false" ht="30" hidden="false" customHeight="true" outlineLevel="0" collapsed="false">
      <c r="A2" s="5" t="s">
        <v>756</v>
      </c>
      <c r="B2" s="5"/>
      <c r="C2" s="5"/>
      <c r="D2" s="5"/>
      <c r="E2" s="5"/>
      <c r="F2" s="5"/>
    </row>
    <row r="4" customFormat="false" ht="15" hidden="false" customHeight="false" outlineLevel="0" collapsed="false">
      <c r="A4" s="7" t="s">
        <v>757</v>
      </c>
      <c r="B4" s="7" t="s">
        <v>45</v>
      </c>
      <c r="C4" s="7" t="s">
        <v>22</v>
      </c>
      <c r="D4" s="7" t="s">
        <v>758</v>
      </c>
      <c r="E4" s="7" t="s">
        <v>759</v>
      </c>
      <c r="F4" s="7" t="s">
        <v>760</v>
      </c>
    </row>
    <row r="5" customFormat="false" ht="15" hidden="false" customHeight="false" outlineLevel="0" collapsed="false">
      <c r="A5" s="10" t="n">
        <v>1</v>
      </c>
      <c r="B5" s="8" t="s">
        <v>28</v>
      </c>
      <c r="C5" s="10" t="str">
        <f aca="false">IFERROR(INDEX('Thành viên'!$B$6:$B$10,MATCH($B5,'Thành viên'!$A$6:$A$10,0))&amp;"","")</f>
        <v/>
      </c>
      <c r="D5" s="10" t="s">
        <v>761</v>
      </c>
      <c r="E5" s="10" t="s">
        <v>762</v>
      </c>
      <c r="F5" s="9" t="n">
        <v>6</v>
      </c>
    </row>
    <row r="6" customFormat="false" ht="15" hidden="false" customHeight="false" outlineLevel="0" collapsed="false">
      <c r="A6" s="10" t="n">
        <v>2</v>
      </c>
      <c r="B6" s="11" t="s">
        <v>32</v>
      </c>
      <c r="C6" s="10" t="str">
        <f aca="false">IFERROR(INDEX('Thành viên'!$B$6:$B$10,MATCH($B6,'Thành viên'!$A$6:$A$10,0))&amp;"","")</f>
        <v/>
      </c>
      <c r="D6" s="10" t="s">
        <v>763</v>
      </c>
      <c r="E6" s="10" t="s">
        <v>764</v>
      </c>
      <c r="F6" s="9" t="n">
        <v>6</v>
      </c>
    </row>
    <row r="7" customFormat="false" ht="15" hidden="false" customHeight="false" outlineLevel="0" collapsed="false">
      <c r="A7" s="10" t="n">
        <v>3</v>
      </c>
      <c r="B7" s="12" t="s">
        <v>31</v>
      </c>
      <c r="C7" s="10" t="str">
        <f aca="false">IFERROR(INDEX('Thành viên'!$B$6:$B$10,MATCH($B7,'Thành viên'!$A$6:$A$10,0))&amp;"","")</f>
        <v/>
      </c>
      <c r="D7" s="10" t="s">
        <v>765</v>
      </c>
      <c r="E7" s="10" t="s">
        <v>766</v>
      </c>
      <c r="F7" s="9" t="n">
        <v>6</v>
      </c>
    </row>
    <row r="8" customFormat="false" ht="15" hidden="false" customHeight="false" outlineLevel="0" collapsed="false">
      <c r="A8" s="10" t="n">
        <v>4</v>
      </c>
      <c r="B8" s="13" t="s">
        <v>35</v>
      </c>
      <c r="C8" s="10" t="str">
        <f aca="false">IFERROR(INDEX('Thành viên'!$B$6:$B$10,MATCH($B8,'Thành viên'!$A$6:$A$10,0))&amp;"","")</f>
        <v/>
      </c>
      <c r="D8" s="10" t="s">
        <v>767</v>
      </c>
      <c r="E8" s="10" t="s">
        <v>768</v>
      </c>
      <c r="F8" s="9" t="n">
        <v>6</v>
      </c>
    </row>
    <row r="9" customFormat="false" ht="15" hidden="false" customHeight="false" outlineLevel="0" collapsed="false">
      <c r="A9" s="10" t="n">
        <v>5</v>
      </c>
      <c r="B9" s="14" t="s">
        <v>40</v>
      </c>
      <c r="C9" s="10" t="str">
        <f aca="false">IFERROR(INDEX('Thành viên'!$B$6:$B$10,MATCH($B9,'Thành viên'!$A$6:$A$10,0))&amp;"","")</f>
        <v/>
      </c>
      <c r="D9" s="10" t="s">
        <v>769</v>
      </c>
      <c r="E9" s="10" t="s">
        <v>770</v>
      </c>
      <c r="F9" s="9" t="n">
        <v>6</v>
      </c>
    </row>
    <row r="10" customFormat="false" ht="15" hidden="false" customHeight="false" outlineLevel="0" collapsed="false">
      <c r="A10" s="10" t="n">
        <v>6</v>
      </c>
      <c r="B10" s="8" t="s">
        <v>28</v>
      </c>
      <c r="C10" s="10" t="str">
        <f aca="false">IFERROR(INDEX('Thành viên'!$B$6:$B$10,MATCH($B10,'Thành viên'!$A$6:$A$10,0))&amp;"","")</f>
        <v/>
      </c>
      <c r="D10" s="10" t="s">
        <v>771</v>
      </c>
      <c r="E10" s="10" t="s">
        <v>772</v>
      </c>
      <c r="F10" s="9" t="n">
        <v>2</v>
      </c>
    </row>
    <row r="11" customFormat="false" ht="15" hidden="false" customHeight="false" outlineLevel="0" collapsed="false">
      <c r="E11" s="23" t="s">
        <v>773</v>
      </c>
      <c r="F11" s="23" t="n">
        <f aca="false">SUM(F5:F10)</f>
        <v>32</v>
      </c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2026-10-28T17:09:33Z</dcterms:created>
  <dc:creator>Nhóm BTL</dc:creator>
  <dc:description/>
  <dc:language>en-US</dc:language>
  <cp:lastModifiedBy>Nhóm BTL</cp:lastModifiedBy>
  <dcterms:modified xsi:type="dcterms:W3CDTF">2026-10-28T17:09:33Z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