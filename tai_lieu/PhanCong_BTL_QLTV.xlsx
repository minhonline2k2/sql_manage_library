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ân việc" sheetId="1" state="visible" r:id="rId3"/>
    <sheet name="TV1 - Kho sách" sheetId="2" state="visible" r:id="rId4"/>
    <sheet name="TV2 - Con người" sheetId="3" state="visible" r:id="rId5"/>
    <sheet name="TV3 - Mượn trả" sheetId="4" state="visible" r:id="rId6"/>
    <sheet name="TV4 - Phòng đọc &amp; Phân tán" sheetId="5" state="visible" r:id="rId7"/>
    <sheet name="TV5 - Truy vấn &amp; Kiểm thử" sheetId="6" state="visible" r:id="rId8"/>
    <sheet name="Trigger &amp; Transaction" sheetId="7" state="visible" r:id="rId9"/>
    <sheet name="Truy vấn báo cáo" sheetId="8" state="visible" r:id="rId10"/>
    <sheet name="Danh mục bảng" sheetId="9" state="visible" r:id="rId11"/>
    <sheet name="Checklist ERD" sheetId="10" state="visible" r:id="rId12"/>
    <sheet name="Thông số kịch bản" sheetId="11" state="visible" r:id="rId13"/>
    <sheet name="Lộ trình" sheetId="12" state="visible" r:id="rId14"/>
    <sheet name="Quy ước MariaDB" sheetId="13" state="visible" r:id="rId15"/>
    <sheet name="Báo cáo Word" sheetId="14" state="visible" r:id="rId16"/>
    <sheet name="Thành viên" sheetId="15" state="visible" r:id="rId17"/>
  </sheets>
  <definedNames>
    <definedName function="false" hidden="true" localSheetId="13" name="_xlnm._FilterDatabase" vbProcedure="false">'Báo cáo Word'!$A$4:$F$10</definedName>
    <definedName function="false" hidden="true" localSheetId="9" name="_xlnm._FilterDatabase" vbProcedure="false">'Checklist ERD'!$A$4:$D$18</definedName>
    <definedName function="false" hidden="true" localSheetId="8" name="_xlnm._FilterDatabase" vbProcedure="false">'Danh mục bảng'!$A$4:$H$27</definedName>
    <definedName function="false" hidden="true" localSheetId="11" name="_xlnm._FilterDatabase" vbProcedure="false">'Lộ trình'!$A$4:$D$15</definedName>
    <definedName function="false" hidden="true" localSheetId="0" name="_xlnm._FilterDatabase" vbProcedure="false">'Phân việc'!$A$13:$Q$53</definedName>
    <definedName function="false" hidden="true" localSheetId="12" name="_xlnm._FilterDatabase" vbProcedure="false">'Quy ước MariaDB'!$A$4:$C$28</definedName>
    <definedName function="false" hidden="true" localSheetId="10" name="_xlnm._FilterDatabase" vbProcedure="false">'Thông số kịch bản'!$A$4:$H$10</definedName>
    <definedName function="false" hidden="true" localSheetId="6" name="_xlnm._FilterDatabase" vbProcedure="false">'Trigger &amp; Transaction'!$A$4:$K$19</definedName>
    <definedName function="false" hidden="true" localSheetId="7" name="_xlnm._FilterDatabase" vbProcedure="false">'Truy vấn báo cáo'!$A$4:$H$10</definedName>
    <definedName function="false" hidden="true" localSheetId="1" name="_xlnm._FilterDatabase" vbProcedure="false">'TV1 - Kho sách'!$A$5:$J$21</definedName>
    <definedName function="false" hidden="true" localSheetId="2" name="_xlnm._FilterDatabase" vbProcedure="false">'TV2 - Con người'!$A$5:$J$19</definedName>
    <definedName function="false" hidden="true" localSheetId="3" name="_xlnm._FilterDatabase" vbProcedure="false">'TV3 - Mượn trả'!$A$5:$J$17</definedName>
    <definedName function="false" hidden="true" localSheetId="4" name="_xlnm._FilterDatabase" vbProcedure="false">'TV4 - Phòng đọc &amp; Phân tán'!$A$5:$J$21</definedName>
    <definedName function="false" hidden="true" localSheetId="5" name="_xlnm._FilterDatabase" vbProcedure="false">'TV5 - Truy vấn &amp; Kiểm thử'!$A$5:$J$15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<sst xmlns="http://schemas.openxmlformats.org/spreadsheetml/2006/main" count="1782" uniqueCount="872">
  <si>
    <t xml:space="preserve">BTL Quản lý thư viện – Bảng phân việc 5 người (MariaDB)</t>
  </si>
  <si>
    <t xml:space="preserve">C = phụ trách chính · R = review · H = hỗ trợ/góp ý. Ô vàng là ô cần cập nhật (Trạng thái, Ghi chú). Tên thật nhập ở sheet 'Thành viên'.</t>
  </si>
  <si>
    <t xml:space="preserve">Tổng hợp theo người</t>
  </si>
  <si>
    <t xml:space="preserve">Mã TV</t>
  </si>
  <si>
    <t xml:space="preserve">Họ tên</t>
  </si>
  <si>
    <t xml:space="preserve">Mảng</t>
  </si>
  <si>
    <t xml:space="preserve">Số việc chính (C)</t>
  </si>
  <si>
    <t xml:space="preserve">Đã hoàn thành</t>
  </si>
  <si>
    <t xml:space="preserve">% hoàn thành</t>
  </si>
  <si>
    <t xml:space="preserve">Số việc review (R)</t>
  </si>
  <si>
    <t xml:space="preserve">TV1</t>
  </si>
  <si>
    <t xml:space="preserve">Kho sách + trưởng nhóm</t>
  </si>
  <si>
    <t xml:space="preserve">TV2</t>
  </si>
  <si>
    <t xml:space="preserve">Con người, chi nhánh, dữ liệu</t>
  </si>
  <si>
    <t xml:space="preserve">TV3</t>
  </si>
  <si>
    <t xml:space="preserve">Mượn – trả – phạt</t>
  </si>
  <si>
    <t xml:space="preserve">TV4</t>
  </si>
  <si>
    <t xml:space="preserve">Phòng đọc + CSDL phân tán</t>
  </si>
  <si>
    <t xml:space="preserve">TV5</t>
  </si>
  <si>
    <t xml:space="preserve">Truy vấn, tối ưu, bảo mật, kiểm thử</t>
  </si>
  <si>
    <t xml:space="preserve">Toàn nhóm</t>
  </si>
  <si>
    <t xml:space="preserve">Tổng số đầu việc</t>
  </si>
  <si>
    <t xml:space="preserve">Mã việc</t>
  </si>
  <si>
    <t xml:space="preserve">Giai đoạn</t>
  </si>
  <si>
    <t xml:space="preserve">Đầu việc</t>
  </si>
  <si>
    <t xml:space="preserve">Phụ trách</t>
  </si>
  <si>
    <t xml:space="preserve">Review</t>
  </si>
  <si>
    <t xml:space="preserve">Bắt đầu</t>
  </si>
  <si>
    <t xml:space="preserve">Hạn</t>
  </si>
  <si>
    <t xml:space="preserve">Sản phẩm / file</t>
  </si>
  <si>
    <t xml:space="preserve">Yêu cầu đề đáp ứng</t>
  </si>
  <si>
    <t xml:space="preserve">Phụ thuộc</t>
  </si>
  <si>
    <t xml:space="preserve">Trạng thái</t>
  </si>
  <si>
    <t xml:space="preserve">Ghi chú</t>
  </si>
  <si>
    <t xml:space="preserve">NV01</t>
  </si>
  <si>
    <t xml:space="preserve">0. Chốt nền tảng</t>
  </si>
  <si>
    <t xml:space="preserve">Vẽ ERD khung (thực thể, liên kết, lực lượng) + soạn schema v0 + nhập thông số kịch bản</t>
  </si>
  <si>
    <t xml:space="preserve">Cả nhóm</t>
  </si>
  <si>
    <t xml:space="preserve">erd/ERD_khung.drawio; db/00_schema.sql (v0)</t>
  </si>
  <si>
    <t xml:space="preserve">Phần 2: thiết kế khái niệm, logic</t>
  </si>
  <si>
    <t xml:space="preserve">—</t>
  </si>
  <si>
    <t xml:space="preserve">C</t>
  </si>
  <si>
    <t xml:space="preserve">H</t>
  </si>
  <si>
    <t xml:space="preserve">Chưa bắt đầu</t>
  </si>
  <si>
    <t xml:space="preserve">NV02</t>
  </si>
  <si>
    <t xml:space="preserve">Góp ý schema v0 cho phần bảng thuộc mảng mình (comment trên repo)</t>
  </si>
  <si>
    <t xml:space="preserve">Comment trên GitHub</t>
  </si>
  <si>
    <t xml:space="preserve">R</t>
  </si>
  <si>
    <t xml:space="preserve">NV03</t>
  </si>
  <si>
    <t xml:space="preserve">Quy ước procedure: tên, tham số p_, kết quả trả về, bảng mã lỗi SIGNAL</t>
  </si>
  <si>
    <t xml:space="preserve">docs/quy_uoc_procedure.md</t>
  </si>
  <si>
    <t xml:space="preserve">Thống nhất cài đặt</t>
  </si>
  <si>
    <t xml:space="preserve">NV04</t>
  </si>
  <si>
    <t xml:space="preserve">Cuộc gọi 1 (45 phút): chốt góp ý, đóng băng schema v1</t>
  </si>
  <si>
    <t xml:space="preserve">db/00_schema.sql (v1), CHANGELOG</t>
  </si>
  <si>
    <t xml:space="preserve">NV02, NV03</t>
  </si>
  <si>
    <t xml:space="preserve">NV05</t>
  </si>
  <si>
    <t xml:space="preserve">1. Thiết kế</t>
  </si>
  <si>
    <t xml:space="preserve">ERD con Kho sách + ánh xạ quan hệ + PTH + khóa + BCNF</t>
  </si>
  <si>
    <t xml:space="preserve">erd/tv1_kho.drawio; baocao/tv1.docx (mục 3)</t>
  </si>
  <si>
    <t xml:space="preserve">ERD, ánh xạ, PTH, BCNF</t>
  </si>
  <si>
    <t xml:space="preserve">NV06</t>
  </si>
  <si>
    <t xml:space="preserve">ERD con Con người &amp; chi nhánh + ánh xạ + PTH + khóa + BCNF</t>
  </si>
  <si>
    <t xml:space="preserve">erd/tv2_nguoi.drawio; baocao/tv2.docx</t>
  </si>
  <si>
    <t xml:space="preserve">NV07</t>
  </si>
  <si>
    <t xml:space="preserve">ERD con Mượn – trả – phạt + ánh xạ + PTH + khóa + BCNF</t>
  </si>
  <si>
    <t xml:space="preserve">erd/tv3_muontra.drawio; baocao/tv3.docx</t>
  </si>
  <si>
    <t xml:space="preserve">NV08</t>
  </si>
  <si>
    <t xml:space="preserve">ERD con Phòng đọc + ánh xạ + PTH + khóa + BCNF</t>
  </si>
  <si>
    <t xml:space="preserve">erd/tv4_phong.drawio; baocao/tv4.docx</t>
  </si>
  <si>
    <t xml:space="preserve">NV09</t>
  </si>
  <si>
    <t xml:space="preserve">Ghép ERD tổng + tick checklist 'đủ mọi loại' thực thể/thuộc tính/liên kết</t>
  </si>
  <si>
    <t xml:space="preserve">erd/ERD_tong.drawio</t>
  </si>
  <si>
    <t xml:space="preserve">Đủ mọi loại tập thực thể, thuộc tính, liên kết</t>
  </si>
  <si>
    <t xml:space="preserve">NV05–NV08</t>
  </si>
  <si>
    <t xml:space="preserve">NV10</t>
  </si>
  <si>
    <t xml:space="preserve">2. Cài đặt SQL</t>
  </si>
  <si>
    <t xml:space="preserve">DDL + CHECK/UNIQUE/FK có tên + function + procedure CRUD mảng Kho sách</t>
  </si>
  <si>
    <t xml:space="preserve">db/10_tv1_kho.sql</t>
  </si>
  <si>
    <t xml:space="preserve">Thêm/xóa/sửa/tìm kiếm; ràng buộc bằng SQL</t>
  </si>
  <si>
    <t xml:space="preserve">NV11</t>
  </si>
  <si>
    <t xml:space="preserve">DDL + ràng buộc + function + procedure CRUD mảng Con người &amp; chi nhánh</t>
  </si>
  <si>
    <t xml:space="preserve">db/20_tv2_nguoi.sql</t>
  </si>
  <si>
    <t xml:space="preserve">NV12</t>
  </si>
  <si>
    <t xml:space="preserve">DDL + ràng buộc + function tính phạt/đếm sách + procedure tra cứu mảng Mượn trả</t>
  </si>
  <si>
    <t xml:space="preserve">db/30_tv3_muontra.sql</t>
  </si>
  <si>
    <t xml:space="preserve">Ràng buộc bằng SQL</t>
  </si>
  <si>
    <t xml:space="preserve">NV13</t>
  </si>
  <si>
    <t xml:space="preserve">DDL + ràng buộc + procedure CRUD mảng Phòng đọc</t>
  </si>
  <si>
    <t xml:space="preserve">db/40_tv4_phong.sql</t>
  </si>
  <si>
    <t xml:space="preserve">NV14</t>
  </si>
  <si>
    <t xml:space="preserve">Trigger TRG4, TRG5, TRG6</t>
  </si>
  <si>
    <t xml:space="preserve">db/triggers/TRG4..6</t>
  </si>
  <si>
    <t xml:space="preserve">≥5 trigger; số lượng trên giá; tuổi thọ; giá cùng thể loại</t>
  </si>
  <si>
    <t xml:space="preserve">NV10, NV12</t>
  </si>
  <si>
    <t xml:space="preserve">NV15</t>
  </si>
  <si>
    <t xml:space="preserve">Transaction TX4 (nhập lô sách), TX5 (thanh lý sách hết hạn)</t>
  </si>
  <si>
    <t xml:space="preserve">db/tx/TX4, TX5</t>
  </si>
  <si>
    <t xml:space="preserve">≥5 transaction; sách hết hạn tách bảng riêng</t>
  </si>
  <si>
    <t xml:space="preserve">NV16</t>
  </si>
  <si>
    <t xml:space="preserve">Trigger TRG8 + Transaction TX6 (đăng ký độc giả)</t>
  </si>
  <si>
    <t xml:space="preserve">db/triggers/TRG8; db/tx/TX6</t>
  </si>
  <si>
    <t xml:space="preserve">≥5 trigger/transaction</t>
  </si>
  <si>
    <t xml:space="preserve">NV17</t>
  </si>
  <si>
    <t xml:space="preserve">Trigger TRG1, TRG2, TRG3 (10 cuốn/lần, 50 cuốn, tính phạt)</t>
  </si>
  <si>
    <t xml:space="preserve">db/triggers/TRG1..3</t>
  </si>
  <si>
    <t xml:space="preserve">Giới hạn mượn; phí phạt trả muộn</t>
  </si>
  <si>
    <t xml:space="preserve">NV18</t>
  </si>
  <si>
    <t xml:space="preserve">Transaction TX1 (mượn), TX2 (trả), TX3 (thanh toán phạt)</t>
  </si>
  <si>
    <t xml:space="preserve">db/tx/TX1..3</t>
  </si>
  <si>
    <t xml:space="preserve">Mượn/trả 1–n cuốn; số lượng trên giá đổi</t>
  </si>
  <si>
    <t xml:space="preserve">NV12, NV10</t>
  </si>
  <si>
    <t xml:space="preserve">NV19</t>
  </si>
  <si>
    <t xml:space="preserve">Trigger TRG7 + Transaction TX7 (thuê phòng)</t>
  </si>
  <si>
    <t xml:space="preserve">db/triggers/TRG7; db/tx/TX7</t>
  </si>
  <si>
    <t xml:space="preserve">Thuê phòng đọc theo lịch</t>
  </si>
  <si>
    <t xml:space="preserve">NV20</t>
  </si>
  <si>
    <t xml:space="preserve">6 truy vấn hiển thị bắt buộc (view/procedure) + biểu thức đại số quan hệ</t>
  </si>
  <si>
    <t xml:space="preserve">db/50_tv5_baocao.sql</t>
  </si>
  <si>
    <t xml:space="preserve">Toàn bộ 6 yêu cầu hiển thị của đề</t>
  </si>
  <si>
    <t xml:space="preserve">NV21</t>
  </si>
  <si>
    <t xml:space="preserve">Tạo INDEX + so sánh EXPLAIN trước/sau cho 2 truy vấn</t>
  </si>
  <si>
    <t xml:space="preserve">db/50_tv5_baocao.sql; ảnh EXPLAIN</t>
  </si>
  <si>
    <t xml:space="preserve">Tối ưu truy vấn (nội dung môn học)</t>
  </si>
  <si>
    <t xml:space="preserve">NV22</t>
  </si>
  <si>
    <t xml:space="preserve">Phân quyền: ROLE r_ThuThu, r_QuanLy; GRANT EXECUTE/SELECT tối thiểu</t>
  </si>
  <si>
    <t xml:space="preserve">db/60_tv5_baomat.sql</t>
  </si>
  <si>
    <t xml:space="preserve">An toàn bảo mật CSDL (bước 6)</t>
  </si>
  <si>
    <t xml:space="preserve">NV10–NV19</t>
  </si>
  <si>
    <t xml:space="preserve">NV23</t>
  </si>
  <si>
    <t xml:space="preserve">3. Dữ liệu</t>
  </si>
  <si>
    <t xml:space="preserve">Seed danh mục: thể loại, 300 đầu sách, 1.500 cuốn, giá, phòng kho</t>
  </si>
  <si>
    <t xml:space="preserve">db/seed/01_tv1.sql</t>
  </si>
  <si>
    <t xml:space="preserve">Số sách phong phú</t>
  </si>
  <si>
    <t xml:space="preserve">NV24</t>
  </si>
  <si>
    <t xml:space="preserve">Seed bảng phí phạt</t>
  </si>
  <si>
    <t xml:space="preserve">db/seed/03_tv3.sql</t>
  </si>
  <si>
    <t xml:space="preserve">Phí phạt theo thể loại</t>
  </si>
  <si>
    <t xml:space="preserve">NV25</t>
  </si>
  <si>
    <t xml:space="preserve">Seed 21 phòng đọc + ~150 lượt thuê (gọi TX7)</t>
  </si>
  <si>
    <t xml:space="preserve">db/seed/04_tv4.sql</t>
  </si>
  <si>
    <t xml:space="preserve">Lịch thuê phòng</t>
  </si>
  <si>
    <t xml:space="preserve">NV26</t>
  </si>
  <si>
    <t xml:space="preserve">Seed 3 chi nhánh, 15 thủ thư, 200 độc giả + sinh ~800 phiếu mượn/trả 3 tháng bằng TX1/TX2 + seed_all.sql</t>
  </si>
  <si>
    <t xml:space="preserve">db/seed/02_tv2.sql; db/seed/seed_all.sql</t>
  </si>
  <si>
    <t xml:space="preserve">Thư viện vận hành ≥3 tháng</t>
  </si>
  <si>
    <t xml:space="preserve">NV11, NV18</t>
  </si>
  <si>
    <t xml:space="preserve">NV27</t>
  </si>
  <si>
    <t xml:space="preserve">4. Phân tán</t>
  </si>
  <si>
    <t xml:space="preserve">Số liệu giả định + phân mảnh ngang nguyên thủy (Pr, COM_MIN, minterm, PHORIZONTAL)</t>
  </si>
  <si>
    <t xml:space="preserve">phan_tan/phan_manh_ngang.xlsx; baocao/tv4.docx</t>
  </si>
  <si>
    <t xml:space="preserve">Phân mảnh (mục 5)</t>
  </si>
  <si>
    <t xml:space="preserve">NV28</t>
  </si>
  <si>
    <t xml:space="preserve">Phân mảnh ngang dẫn xuất (bán kết nối) + phân mảnh dọc DOC_GIA bằng BEA</t>
  </si>
  <si>
    <t xml:space="preserve">phan_tan/BEA.xlsx; baocao/tv4.docx</t>
  </si>
  <si>
    <t xml:space="preserve">NV29</t>
  </si>
  <si>
    <t xml:space="preserve">Kiểm tra 3 quy tắc, cấp phát, nhân bản, sơ đồ tổng thể, minh họa 3 database QLTV_CN01..03</t>
  </si>
  <si>
    <t xml:space="preserve">phan_tan/minh_hoa.sql; baocao/tv4.docx</t>
  </si>
  <si>
    <t xml:space="preserve">Định vị, nhân bản, sơ đồ tổng quát (mục 5)</t>
  </si>
  <si>
    <t xml:space="preserve">NV28, NV10–NV13</t>
  </si>
  <si>
    <t xml:space="preserve">NV30</t>
  </si>
  <si>
    <t xml:space="preserve">5. Kiểm thử &amp; tích hợp</t>
  </si>
  <si>
    <t xml:space="preserve">Script test: mỗi trigger/transaction 1 ca hợp lệ + 1 ca bị chặn</t>
  </si>
  <si>
    <t xml:space="preserve">Chủ từng đối tượng</t>
  </si>
  <si>
    <t xml:space="preserve">db/tests/*.sql</t>
  </si>
  <si>
    <t xml:space="preserve">≥5 trigger, ≥5 transaction chạy đúng</t>
  </si>
  <si>
    <t xml:space="preserve">NV14–NV19</t>
  </si>
  <si>
    <t xml:space="preserve">NV31</t>
  </si>
  <si>
    <t xml:space="preserve">Chạy build_all.sql trên DB trống mỗi cuối tuần, báo lỗi vào nhóm</t>
  </si>
  <si>
    <t xml:space="preserve">Danh sách lỗi hằng tuần</t>
  </si>
  <si>
    <t xml:space="preserve">NV32</t>
  </si>
  <si>
    <t xml:space="preserve">Review chéo qua Pull Request (theo cặp ở cột Review)</t>
  </si>
  <si>
    <t xml:space="preserve">PR đã duyệt</t>
  </si>
  <si>
    <t xml:space="preserve">NV33</t>
  </si>
  <si>
    <t xml:space="preserve">Giao diện tối giản: chỉ gọi procedure/view có sẵn</t>
  </si>
  <si>
    <t xml:space="preserve">app/</t>
  </si>
  <si>
    <t xml:space="preserve">Có giao diện kết nối CSDL</t>
  </si>
  <si>
    <t xml:space="preserve">NV03, NV20</t>
  </si>
  <si>
    <t xml:space="preserve">NV34</t>
  </si>
  <si>
    <t xml:space="preserve">6. Báo cáo</t>
  </si>
  <si>
    <t xml:space="preserve">Viết phần báo cáo mảng mình (mục 2, 3, 4) kèm ảnh minh chứng</t>
  </si>
  <si>
    <t xml:space="preserve">Người review cặp</t>
  </si>
  <si>
    <t xml:space="preserve">baocao/tvX.docx</t>
  </si>
  <si>
    <t xml:space="preserve">Báo cáo mục 2–4</t>
  </si>
  <si>
    <t xml:space="preserve">NV05–NV22</t>
  </si>
  <si>
    <t xml:space="preserve">NV35</t>
  </si>
  <si>
    <t xml:space="preserve">Mục 'ràng buộc số lượng bản ghi' (đề yêu cầu riêng)</t>
  </si>
  <si>
    <t xml:space="preserve">baocao/tv3.docx</t>
  </si>
  <si>
    <t xml:space="preserve">Ràng buộc số lượng bản ghi</t>
  </si>
  <si>
    <t xml:space="preserve">NV17, NV18</t>
  </si>
  <si>
    <t xml:space="preserve">NV36</t>
  </si>
  <si>
    <t xml:space="preserve">Mục 5: Phân tích và thiết kế CSDL phân tán</t>
  </si>
  <si>
    <t xml:space="preserve">baocao/tv4.docx</t>
  </si>
  <si>
    <t xml:space="preserve">Báo cáo mục 5</t>
  </si>
  <si>
    <t xml:space="preserve">NV27–NV29</t>
  </si>
  <si>
    <t xml:space="preserve">NV37</t>
  </si>
  <si>
    <t xml:space="preserve">Cuộc gọi 2 (45 phút): rà lỗi tích hợp, chốt nội dung báo cáo</t>
  </si>
  <si>
    <t xml:space="preserve">Danh sách sửa cuối</t>
  </si>
  <si>
    <t xml:space="preserve">NV38</t>
  </si>
  <si>
    <t xml:space="preserve">Viết mục 1, ghép báo cáo thành 1 file Word/PDF, nộp</t>
  </si>
  <si>
    <t xml:space="preserve">baocao/BaoCao_tong.docx (.pdf)</t>
  </si>
  <si>
    <t xml:space="preserve">Nộp báo cáo tổng thể (hạn 22/11)</t>
  </si>
  <si>
    <t xml:space="preserve">NV34–NV37</t>
  </si>
  <si>
    <t xml:space="preserve">NV39</t>
  </si>
  <si>
    <t xml:space="preserve">7. Demo</t>
  </si>
  <si>
    <t xml:space="preserve">Tự cài toàn bộ hệ thống trên máy mình + ôn lý thuyết (khóa, bao đóng, BCNF, ĐSQH, COM_MIN, BEA)</t>
  </si>
  <si>
    <t xml:space="preserve">Phần 3: vận hành (60%, chấm cá nhân)</t>
  </si>
  <si>
    <t xml:space="preserve">NV40</t>
  </si>
  <si>
    <t xml:space="preserve">Cuộc gọi 3 (60 phút): tập demo đổi vai, mỗi người trình bày mảng người mình review</t>
  </si>
  <si>
    <t xml:space="preserve">Kịch bản demo 10 phút</t>
  </si>
  <si>
    <t xml:space="preserve">Phần 3: vận hành</t>
  </si>
  <si>
    <t xml:space="preserve">TV1 – chi tiết công việc</t>
  </si>
  <si>
    <t xml:space="preserve">Kho sách: thể loại, đầu sách, tác giả, phòng kho, giá sách, cuốn sách, sách thanh lý · Trưởng nhóm</t>
  </si>
  <si>
    <t xml:space="preserve">Họ tên:</t>
  </si>
  <si>
    <t xml:space="preserve">Tiến độ:</t>
  </si>
  <si>
    <t xml:space="preserve">STT</t>
  </si>
  <si>
    <t xml:space="preserve">Nhóm việc</t>
  </si>
  <si>
    <t xml:space="preserve">Việc cụ thể</t>
  </si>
  <si>
    <t xml:space="preserve">Tiêu chí xong</t>
  </si>
  <si>
    <t xml:space="preserve">Chốt nền tảng</t>
  </si>
  <si>
    <t xml:space="preserve">Vẽ ERD khung: tất cả thực thể, liên kết, lực lượng (chưa cần thuộc tính chi tiết)</t>
  </si>
  <si>
    <t xml:space="preserve">erd/ERD_khung.drawio</t>
  </si>
  <si>
    <t xml:space="preserve">Cả nhóm nhìn thấy mảng mình nằm ở đâu</t>
  </si>
  <si>
    <t xml:space="preserve">Soạn schema v0: danh sách bảng, cột, kiểu, PK/FK, định dạng mã theo sheet 'Danh mục bảng'</t>
  </si>
  <si>
    <t xml:space="preserve">db/00_schema.sql</t>
  </si>
  <si>
    <t xml:space="preserve">Chạy được trên MariaDB trống</t>
  </si>
  <si>
    <t xml:space="preserve">Tổng hợp góp ý, chủ trì cuộc gọi 1, đóng băng schema v1, ghi CHANGELOG</t>
  </si>
  <si>
    <t xml:space="preserve">db/00_schema.sql v1</t>
  </si>
  <si>
    <t xml:space="preserve">Tag v1 trên repo</t>
  </si>
  <si>
    <t xml:space="preserve">Thiết kế</t>
  </si>
  <si>
    <t xml:space="preserve">ERD con: DAU_SACH (mạnh) – CUON_SACH (yếu, khóa bán phần STT), TAC_GIA đa trị → N:N, GIA_SACH – PHONG_KHO 1:N</t>
  </si>
  <si>
    <t xml:space="preserve">erd/tv1_kho.drawio</t>
  </si>
  <si>
    <t xml:space="preserve">Đúng ký hiệu Chen như slide</t>
  </si>
  <si>
    <t xml:space="preserve">Ánh xạ ERD → quan hệ; liệt kê PTH từng bảng; tìm khóa bằng bao đóng; chứng minh BCNF</t>
  </si>
  <si>
    <t xml:space="preserve">baocao/tv1.docx</t>
  </si>
  <si>
    <t xml:space="preserve">Có F, khóa, kết luận BCNF cho mỗi bảng</t>
  </si>
  <si>
    <t xml:space="preserve">Ghép ERD tổng từ 4 ERD con; tick sheet 'Checklist ERD'</t>
  </si>
  <si>
    <t xml:space="preserve">Đủ 14 loại trong checklist</t>
  </si>
  <si>
    <t xml:space="preserve">Cài đặt SQL</t>
  </si>
  <si>
    <t xml:space="preserve">MaDauSach dạng TR0012: CHECK (MaTheLoai = LEFT(MaDauSach,2)); MaCuonSach TR0012-003: CHECK (MaCuonSach = CONCAT(MaDauSach,'-',LPAD(STT,3,'0'))), UNIQUE(MaDauSach, STT)</t>
  </si>
  <si>
    <t xml:space="preserve">Chèn mã sai định dạng bị từ chối</t>
  </si>
  <si>
    <t xml:space="preserve">CHECK: TuoiThoConLaiThang ≥ 0; TrangThai IN ('TrenGia','DangMuon','ChoThanhLy'); 0 ≤ SoLuongHienCo ≤ SucChua</t>
  </si>
  <si>
    <t xml:space="preserve">Mỗi CHECK có 1 ca test bị chặn</t>
  </si>
  <si>
    <t xml:space="preserve">Procedure CRUD: sp_DauSach_Them/Sua/Xoa/TimKiem, sp_CuonSach_TimKiem, sp_GiaSach_*, sp_PhongKho_*</t>
  </si>
  <si>
    <t xml:space="preserve">Đúng quy ước procedure (NV03)</t>
  </si>
  <si>
    <t xml:space="preserve">Trigger</t>
  </si>
  <si>
    <t xml:space="preserve">TRG4: cập nhật số lượng trên giá + trạng thái cuốn khi mượn (AFTER INSERT CT_MUON) và khi trả (AFTER UPDATE MaPhieuTra)</t>
  </si>
  <si>
    <t xml:space="preserve">db/triggers/TRG4.sql</t>
  </si>
  <si>
    <t xml:space="preserve">Xem sheet 'Trigger &amp; Transaction'</t>
  </si>
  <si>
    <t xml:space="preserve">TRG5: giảm tuổi thọ 1 tháng mỗi lần mượn; về 0 → 'ChoThanhLy'</t>
  </si>
  <si>
    <t xml:space="preserve">db/triggers/TRG5.sql</t>
  </si>
  <si>
    <t xml:space="preserve">TRG6: chặn xếp cuốn sách lên giá khác thể loại hoặc giá đã đầy</t>
  </si>
  <si>
    <t xml:space="preserve">db/triggers/TRG6.sql</t>
  </si>
  <si>
    <t xml:space="preserve">Transaction</t>
  </si>
  <si>
    <t xml:space="preserve">TX4 sp_NhapLoSach; TX5 sp_ThanhLySach</t>
  </si>
  <si>
    <t xml:space="preserve">db/tx/TX4.sql, TX5.sql</t>
  </si>
  <si>
    <t xml:space="preserve">Lỗi giữa chừng → ROLLBACK toàn bộ</t>
  </si>
  <si>
    <t xml:space="preserve">Dữ liệu</t>
  </si>
  <si>
    <t xml:space="preserve">Seed 6 thể loại, 300 đầu sách, ~400 tác giả, 6 phòng kho, giá sách, 1.500 cuốn; có cuốn còn &lt; 24 tháng tuổi thọ và cuốn = 0</t>
  </si>
  <si>
    <t xml:space="preserve">Đủ dữ liệu cho truy vấn 5</t>
  </si>
  <si>
    <t xml:space="preserve">Báo cáo</t>
  </si>
  <si>
    <t xml:space="preserve">Viết phần Kho sách của mục 2, 3, 4 + ảnh minh chứng</t>
  </si>
  <si>
    <t xml:space="preserve">Người review (TV3) đã đọc</t>
  </si>
  <si>
    <t xml:space="preserve">Viết mục 1 (phân tích yêu cầu); ghép báo cáo; mục lục tự động; nộp qua email</t>
  </si>
  <si>
    <t xml:space="preserve">baocao/BaoCao_tong.docx</t>
  </si>
  <si>
    <t xml:space="preserve">Nộp trước 20/11</t>
  </si>
  <si>
    <t xml:space="preserve">TV2 – chi tiết công việc</t>
  </si>
  <si>
    <t xml:space="preserve">Con người &amp; chi nhánh: CHI_NHANH, NGUOI, SDT_NGUOI, DOC_GIA, THE_DOC_GIA, THU_THU · Dữ liệu 3 tháng</t>
  </si>
  <si>
    <t xml:space="preserve">Góp ý schema v0 phần bảng Con người &amp; chi nhánh</t>
  </si>
  <si>
    <t xml:space="preserve">Comment repo</t>
  </si>
  <si>
    <t xml:space="preserve">Gửi trước 18/10</t>
  </si>
  <si>
    <t xml:space="preserve">ERD con: NGUOI ISA DOC_GIA/THU_THU (disjoint, toàn bộ); họ tên &amp; địa chỉ là thuộc tính kép; SĐT đa trị; tuổi dẫn xuất</t>
  </si>
  <si>
    <t xml:space="preserve">erd/tv2_nguoi.drawio</t>
  </si>
  <si>
    <t xml:space="preserve">Đúng ký hiệu Chen</t>
  </si>
  <si>
    <t xml:space="preserve">Liên kết 1:1 CHI_NHANH – thủ thư trưởng; liên kết đệ quy thủ thư quản lý thủ thư</t>
  </si>
  <si>
    <t xml:space="preserve">Có cả 2 loại liên kết</t>
  </si>
  <si>
    <t xml:space="preserve">Ánh xạ (ISA → bảng cha + con cùng PK; đa trị → SDT_NGUOI; đệ quy → MaQuanLy); PTH; khóa; BCNF</t>
  </si>
  <si>
    <t xml:space="preserve">baocao/tv2.docx</t>
  </si>
  <si>
    <t xml:space="preserve">Có F, khóa, BCNF</t>
  </si>
  <si>
    <t xml:space="preserve">CHI_NHANH.MaThuThuTruong FK + UNIQUE (thêm bằng ALTER TABLE sau khi có THU_THU, vì FK vòng)</t>
  </si>
  <si>
    <t xml:space="preserve">Hai chi nhánh không chung thủ thư trưởng</t>
  </si>
  <si>
    <t xml:space="preserve">CHECK: LoaiNguoi IN ('DG','TT'); SoDienThoai REGEXP '^0[0-9]{9}$'; NgayHetHan &gt; NgayCap; Email UNIQUE</t>
  </si>
  <si>
    <t xml:space="preserve">Mỗi CHECK có ca bị chặn</t>
  </si>
  <si>
    <t xml:space="preserve">Function fn_Tuoi(p_NgaySinh); fn_TheConHan(p_MaDocGia, p_Ngay)</t>
  </si>
  <si>
    <t xml:space="preserve">Dùng được trong TX1, TX7</t>
  </si>
  <si>
    <t xml:space="preserve">Procedure CRUD: sp_DocGia_*, sp_ThuThu_*, sp_ChiNhanh_*, sp_DocGia_TimKiem (theo tên, SĐT, mã thẻ)</t>
  </si>
  <si>
    <t xml:space="preserve">Đúng quy ước procedure</t>
  </si>
  <si>
    <t xml:space="preserve">TRG8: chặn xóa độc giả còn giữ sách/còn nợ phạt; chặn sửa mã độc giả</t>
  </si>
  <si>
    <t xml:space="preserve">db/triggers/TRG8.sql</t>
  </si>
  <si>
    <t xml:space="preserve">TX6 sp_DangKyDocGia: NGUOI + DOC_GIA + SĐT (JSON) + THE_DOC_GIA; sp_GiaHanThe</t>
  </si>
  <si>
    <t xml:space="preserve">db/tx/TX6.sql</t>
  </si>
  <si>
    <t xml:space="preserve">Lỗi giữa chừng → ROLLBACK</t>
  </si>
  <si>
    <t xml:space="preserve">Seed 3 chi nhánh, 15 thủ thư (có quan hệ quản lý), 200 độc giả, 1–3 SĐT mỗi người</t>
  </si>
  <si>
    <t xml:space="preserve">db/seed/02_tv2.sql</t>
  </si>
  <si>
    <t xml:space="preserve">Có độc giả thẻ hết hạn để test</t>
  </si>
  <si>
    <t xml:space="preserve">Sinh ~800 phiếu mượn/trả 01/07–30/09/2026 bằng vòng lặp gọi TX1/TX2 với ngày quá khứ; có ca quá hạn và độc giả giữ đúng 50 cuốn</t>
  </si>
  <si>
    <t xml:space="preserve">Mọi trigger chạy thật, dữ liệu hợp lệ</t>
  </si>
  <si>
    <t xml:space="preserve">seed_all.sql gọi seed của mọi người theo đúng thứ tự khóa ngoại</t>
  </si>
  <si>
    <t xml:space="preserve">db/seed/seed_all.sql</t>
  </si>
  <si>
    <t xml:space="preserve">Chạy 1 lệnh ra đủ dữ liệu</t>
  </si>
  <si>
    <t xml:space="preserve">Viết phần Con người của mục 2, 3, 4 + mục minh chứng dữ liệu đã nạp</t>
  </si>
  <si>
    <t xml:space="preserve">Người review (TV4) đã đọc</t>
  </si>
  <si>
    <t xml:space="preserve">TV3 – chi tiết công việc</t>
  </si>
  <si>
    <t xml:space="preserve">Mượn – trả – phạt: PHIEU_MUON, CT_MUON, PHIEU_TRA, BANG_PHI_PHAT, PHIEU_PHAT</t>
  </si>
  <si>
    <t xml:space="preserve">Góp ý schema v0 phần bảng Mượn trả</t>
  </si>
  <si>
    <t xml:space="preserve">ERD con: liên kết 3 ngôi THU_THU – DOC_GIA – CUON_SACH; CT_MUON là N:N có thuộc tính HanTra</t>
  </si>
  <si>
    <t xml:space="preserve">erd/tv3_muontra.drawio</t>
  </si>
  <si>
    <t xml:space="preserve">Ràng buộc (min,max): (1,10) cuốn mỗi phiếu; (0,50) cuốn đang giữ mỗi độc giả; MaPhieuTra NULL khi chưa trả</t>
  </si>
  <si>
    <t xml:space="preserve">Ghi trên đường nối</t>
  </si>
  <si>
    <t xml:space="preserve">Ánh xạ; PTH; khóa; BCNF – tách PTH bắc cầu cuốn → thể loại → phí phạt ra BANG_PHI_PHAT; không lưu NgayTra trong CT_MUON</t>
  </si>
  <si>
    <t xml:space="preserve">CHECK: SoTien ≥ 0, SoNgayTre &gt; 0; PK CT_MUON (MaPhieuMuon, MaCuonSach)</t>
  </si>
  <si>
    <t xml:space="preserve">Có ca bị chặn</t>
  </si>
  <si>
    <t xml:space="preserve">Function fn_SoSachDangMuon(p_MaDocGia); fn_HanTra(p_MaCuonSach, p_NgayMuon); fn_TinhTienPhat(p_MaCuonSach, p_HanTra, p_NgayTra)</t>
  </si>
  <si>
    <t xml:space="preserve">Kết quả khớp sheet 'Thông số kịch bản'</t>
  </si>
  <si>
    <t xml:space="preserve">Procedure tra cứu: sp_PhieuMuon_TimKiem, sp_LichSuMuon_DocGia, sp_PhieuPhat_ChuaThanhToan</t>
  </si>
  <si>
    <t xml:space="preserve">TRG1 tối đa 10 cuốn/lần; TRG2 tối đa 50 cuốn đang giữ; TRG3 lập phiếu phạt khi trả muộn</t>
  </si>
  <si>
    <t xml:space="preserve">db/triggers/TRG1..3.sql</t>
  </si>
  <si>
    <t xml:space="preserve">TX1 sp_MuonSach (JSON danh sách cuốn, JSON_TABLE, SELECT … FOR UPDATE); TX2 sp_TraSach (1–n cuốn); TX3 sp_ThanhToanPhat</t>
  </si>
  <si>
    <t xml:space="preserve">db/tx/TX1..3.sql</t>
  </si>
  <si>
    <t xml:space="preserve">Kiểm tra cả luật khác bảng: hạn trả &gt; ngày mượn, ngày trả ≥ ngày mượn</t>
  </si>
  <si>
    <t xml:space="preserve">Seed BANG_PHI_PHAT 6 thể loại; phối hợp TV2 sinh phiếu mượn/trả</t>
  </si>
  <si>
    <t xml:space="preserve">Khớp sheet 'Thông số kịch bản'</t>
  </si>
  <si>
    <t xml:space="preserve">Viết phần Mượn trả của mục 2, 3, 4</t>
  </si>
  <si>
    <t xml:space="preserve">Người review (TV1) đã đọc</t>
  </si>
  <si>
    <t xml:space="preserve">Mục ràng buộc số lượng bản ghi: liệt kê mọi giới hạn số lượng và cách cài (CHECK/trigger/procedure)</t>
  </si>
  <si>
    <t xml:space="preserve">Bao gồm 10, 50, 1–n, sức chứa giá, sức chứa phòng</t>
  </si>
  <si>
    <t xml:space="preserve">TV4 – chi tiết công việc</t>
  </si>
  <si>
    <t xml:space="preserve">Phòng đọc: PHONG_DOC, BANG_GIA_PHONG, PHIEU_THUE_PHONG · Toàn bộ mục 5 CSDL phân tán</t>
  </si>
  <si>
    <t xml:space="preserve">Góp ý schema v0 phần bảng Phòng đọc</t>
  </si>
  <si>
    <t xml:space="preserve">ERD con: phiếu thuê (DOC_GIA – PHONG_DOC) được THU_THU duyệt → mô hình kết hợp (aggregation)</t>
  </si>
  <si>
    <t xml:space="preserve">erd/tv4_phong.drawio</t>
  </si>
  <si>
    <t xml:space="preserve">Ánh xạ; PTH; khóa; BCNF</t>
  </si>
  <si>
    <t xml:space="preserve">CHECK: KetThuc &gt; BatDau; TIME(BatDau) ≥ '07:00'; TIME(KetThuc) ≤ '21:00'; MINUTE(BatDau)=0 (giờ tròn); SucChua &gt; 0</t>
  </si>
  <si>
    <t xml:space="preserve">Procedure CRUD: sp_PhongDoc_*, sp_PhongDoc_TimKiem (chi nhánh, loại, sức chứa)</t>
  </si>
  <si>
    <t xml:space="preserve">TRG7: chặn đặt phòng trùng khung giờ</t>
  </si>
  <si>
    <t xml:space="preserve">db/triggers/TRG7.sql</t>
  </si>
  <si>
    <t xml:space="preserve">TX7 sp_ThuePhong: kiểm tra thẻ, nợ phạt, sức chứa, đặt trước ≤ 14 ngày, tính tiền</t>
  </si>
  <si>
    <t xml:space="preserve">db/tx/TX7.sql</t>
  </si>
  <si>
    <t xml:space="preserve">Seed 21 phòng (mỗi chi nhánh 5 nhóm + 2 hội thảo) + ~150 lượt thuê gọi TX7</t>
  </si>
  <si>
    <t xml:space="preserve">Có thời điểm phòng trống/đang dùng để test truy vấn 6</t>
  </si>
  <si>
    <t xml:space="preserve">Phân tán</t>
  </si>
  <si>
    <t xml:space="preserve">Bảng số liệu giả định: số bản ghi mỗi bảng, ứng dụng q1..qn, tần suất acc tại 3 site</t>
  </si>
  <si>
    <t xml:space="preserve">phan_tan/so_lieu.xlsx</t>
  </si>
  <si>
    <t xml:space="preserve">Đủ để tính COM_MIN, AA</t>
  </si>
  <si>
    <t xml:space="preserve">Phân mảnh ngang nguyên thủy CUON_SACH, DOC_GIA, PHONG_DOC: Pr → COM_MIN → minterm → phép kéo theo → PHORIZONTAL</t>
  </si>
  <si>
    <t xml:space="preserve">Trình bày đúng các bước slide 7b</t>
  </si>
  <si>
    <t xml:space="preserve">Phân mảnh ngang dẫn xuất PHIEU_MUON, CT_MUON bằng bán kết nối</t>
  </si>
  <si>
    <t xml:space="preserve">Có biểu thức ⋉ cho từng mảnh</t>
  </si>
  <si>
    <t xml:space="preserve">Phân mảnh dọc DOC_GIA: ma trận A → AA → BEA (cont) → CA → chọn điểm chia max z = CTQ·CBQ − COQ²</t>
  </si>
  <si>
    <t xml:space="preserve">phan_tan/BEA.xlsx</t>
  </si>
  <si>
    <t xml:space="preserve">Làm như ví dụ PROJ slide 7c</t>
  </si>
  <si>
    <t xml:space="preserve">Kiểm tra 3 quy tắc (đầy đủ, tái thiết, tách biệt); bảng cấp phát mảnh → site; nhân bản toàn phần THE_LOAI, BANG_PHI_PHAT, BANG_GIA_PHONG, DAU_SACH; sơ đồ tổng thể</t>
  </si>
  <si>
    <t xml:space="preserve">Đủ: phân mảnh, định vị, nhân bản, sơ đồ</t>
  </si>
  <si>
    <t xml:space="preserve">Minh họa SQL: 3 database QLTV_CN01..03, INSERT…SELECT…WHERE tách mảnh; view UNION ALL / JOIN tái thiết quan hệ gốc</t>
  </si>
  <si>
    <t xml:space="preserve">phan_tan/minh_hoa.sql</t>
  </si>
  <si>
    <t xml:space="preserve">COUNT(*) sau tái thiết = bảng gốc</t>
  </si>
  <si>
    <t xml:space="preserve">Viết phần Phòng đọc của mục 2, 3, 4</t>
  </si>
  <si>
    <t xml:space="preserve">Người review (TV5) đã đọc</t>
  </si>
  <si>
    <t xml:space="preserve">Viết mục 5 hoàn chỉnh</t>
  </si>
  <si>
    <t xml:space="preserve">TV1 đã đọc</t>
  </si>
  <si>
    <t xml:space="preserve">TV5 – chi tiết công việc</t>
  </si>
  <si>
    <t xml:space="preserve">Truy vấn báo cáo, tối ưu, bảo mật, kiểm thử tích hợp, giao diện tối giản</t>
  </si>
  <si>
    <t xml:space="preserve">Viết quy ước procedure: tên sp_&lt;Doi tuong&gt;_&lt;Viec&gt;, tham số p_, procedure tìm kiếm trả SELECT, procedure thêm trả mã mới (OUT), bảng mã lỗi E1xx–E4xx dùng với SIGNAL</t>
  </si>
  <si>
    <t xml:space="preserve">Chốt cùng schema 19/10</t>
  </si>
  <si>
    <t xml:space="preserve">Truy vấn</t>
  </si>
  <si>
    <t xml:space="preserve">Viết nháp 6 truy vấn theo schema v0 (chưa cần dữ liệu thật)</t>
  </si>
  <si>
    <t xml:space="preserve">Chạy được trên DB trống</t>
  </si>
  <si>
    <t xml:space="preserve">Hoàn thiện 6 view/procedure theo sheet 'Truy vấn báo cáo' + biểu thức đại số quan hệ cho mỗi truy vấn</t>
  </si>
  <si>
    <t xml:space="preserve">Kết quả đúng thứ tự sắp xếp đề yêu cầu</t>
  </si>
  <si>
    <t xml:space="preserve">Tối ưu</t>
  </si>
  <si>
    <t xml:space="preserve">Tạo INDEX cho HanTra, MaPhieuTra, MaDocGia, MaCuonSach, (MaPhongDoc, BatDau); so sánh EXPLAIN trước/sau cho 2 truy vấn</t>
  </si>
  <si>
    <t xml:space="preserve">Có ảnh EXPLAIN trước/sau</t>
  </si>
  <si>
    <t xml:space="preserve">Bảo mật</t>
  </si>
  <si>
    <t xml:space="preserve">CREATE ROLE r_ThuThu, r_QuanLy; GRANT EXECUTE trên procedure, SELECT trên view; không cấp quyền trực tiếp trên bảng; tạo 2 user mẫu</t>
  </si>
  <si>
    <t xml:space="preserve">User thủ thư không SELECT được bảng gốc</t>
  </si>
  <si>
    <t xml:space="preserve">Kiểm thử</t>
  </si>
  <si>
    <t xml:space="preserve">Script test cho 8 trigger + 7 transaction: 1 ca hợp lệ + 1 ca bị chặn, ghi kết quả mong đợi</t>
  </si>
  <si>
    <t xml:space="preserve">15 file test chạy đúng</t>
  </si>
  <si>
    <t xml:space="preserve">Minh chứng số bản ghi mỗi bảng (information_schema.TABLES + SELECT COUNT(*))</t>
  </si>
  <si>
    <t xml:space="preserve">db/tests/dem_ban_ghi.sql</t>
  </si>
  <si>
    <t xml:space="preserve">Đưa ảnh vào báo cáo</t>
  </si>
  <si>
    <t xml:space="preserve">Tích hợp</t>
  </si>
  <si>
    <t xml:space="preserve">Mỗi cuối tuần: DROP DATABASE, chạy build_all.sql + seed_all.sql, dán lỗi vào nhóm</t>
  </si>
  <si>
    <t xml:space="preserve">Tin nhắn nhóm</t>
  </si>
  <si>
    <t xml:space="preserve">Từ 25/10 đến 16/11</t>
  </si>
  <si>
    <t xml:space="preserve">Giao diện</t>
  </si>
  <si>
    <t xml:space="preserve">Giao diện tối giản gọi procedure/view: CRUD 4 mảng, mượn/trả, thuê phòng, 6 màn hình thống kê; không chứa luật nghiệp vụ</t>
  </si>
  <si>
    <t xml:space="preserve">Hiện đúng thông báo lỗi từ SIGNAL</t>
  </si>
  <si>
    <t xml:space="preserve">Viết phần truy vấn, tối ưu, bảo mật, giao diện của mục 4</t>
  </si>
  <si>
    <t xml:space="preserve">baocao/tv5.docx</t>
  </si>
  <si>
    <t xml:space="preserve">Người review (TV2) đã đọc</t>
  </si>
  <si>
    <t xml:space="preserve">Đặc tả 8 trigger và 7 transaction (cú pháp MariaDB)</t>
  </si>
  <si>
    <t xml:space="preserve">Trigger chặn vi phạm bằng SIGNAL SQLSTATE '45000' SET MESSAGE_TEXT = '&lt;Mã lỗi&gt;: …'. MariaDB không cho trigger sửa chính bảng đã kích hoạt nó (lỗi 1442).</t>
  </si>
  <si>
    <t xml:space="preserve">Mã</t>
  </si>
  <si>
    <t xml:space="preserve">Loại</t>
  </si>
  <si>
    <t xml:space="preserve">Tên đối tượng</t>
  </si>
  <si>
    <t xml:space="preserve">Bảng · sự kiện</t>
  </si>
  <si>
    <t xml:space="preserve">Luật nghiệp vụ (đề)</t>
  </si>
  <si>
    <t xml:space="preserve">Xử lý</t>
  </si>
  <si>
    <t xml:space="preserve">Mã lỗi</t>
  </si>
  <si>
    <t xml:space="preserve">Người làm</t>
  </si>
  <si>
    <t xml:space="preserve">Ca test hợp lệ</t>
  </si>
  <si>
    <t xml:space="preserve">Ca test bị chặn</t>
  </si>
  <si>
    <t xml:space="preserve">TRG1</t>
  </si>
  <si>
    <t xml:space="preserve">trg_CTMuon_ToiDa10</t>
  </si>
  <si>
    <t xml:space="preserve">CT_MUON · BEFORE INSERT</t>
  </si>
  <si>
    <t xml:space="preserve">Mỗi phiếu mượn tối đa 10 cuốn</t>
  </si>
  <si>
    <t xml:space="preserve">Đếm CT_MUON cùng MaPhieuMuon; ≥ 10 → SIGNAL</t>
  </si>
  <si>
    <t xml:space="preserve">E101</t>
  </si>
  <si>
    <t xml:space="preserve">Phiếu có 9 cuốn, thêm cuốn thứ 10 → OK</t>
  </si>
  <si>
    <t xml:space="preserve">Thêm cuốn thứ 11 → bị chặn E101</t>
  </si>
  <si>
    <t xml:space="preserve">TRG2</t>
  </si>
  <si>
    <t xml:space="preserve">trg_CTMuon_ToiDa50</t>
  </si>
  <si>
    <t xml:space="preserve">Một độc giả giữ tối đa 50 cuốn chưa trả</t>
  </si>
  <si>
    <t xml:space="preserve">fn_SoSachDangMuon(độc giả của phiếu) ≥ 50 → SIGNAL</t>
  </si>
  <si>
    <t xml:space="preserve">E102</t>
  </si>
  <si>
    <t xml:space="preserve">Độc giả đang giữ 49 → mượn thêm 1 OK</t>
  </si>
  <si>
    <t xml:space="preserve">Đang giữ 50 → mượn thêm bị chặn E102</t>
  </si>
  <si>
    <t xml:space="preserve">TRG3</t>
  </si>
  <si>
    <t xml:space="preserve">trg_CTMuon_LapPhieuPhat</t>
  </si>
  <si>
    <t xml:space="preserve">CT_MUON · AFTER UPDATE (MaPhieuTra NULL → có giá trị)</t>
  </si>
  <si>
    <t xml:space="preserve">Trả muộn bị phạt theo thể loại</t>
  </si>
  <si>
    <t xml:space="preserve">Nếu ngày trả (PHIEU_TRA) &gt; HanTra → INSERT PHIEU_PHAT với fn_TinhTienPhat</t>
  </si>
  <si>
    <t xml:space="preserve">Truyện trễ 3 ngày → phạt 130.000đ</t>
  </si>
  <si>
    <t xml:space="preserve">Trả đúng hạn → không có phiếu phạt</t>
  </si>
  <si>
    <t xml:space="preserve">TRG4</t>
  </si>
  <si>
    <t xml:space="preserve">trg_CTMuon_GiamTrenGia / trg_CTMuon_TangTrenGia</t>
  </si>
  <si>
    <t xml:space="preserve">CT_MUON · AFTER INSERT và AFTER UPDATE</t>
  </si>
  <si>
    <t xml:space="preserve">Mượn thì số sách trên giá giảm, trả thì tăng</t>
  </si>
  <si>
    <t xml:space="preserve">Cập nhật GIA_SACH.SoLuongHienCo ±1 và CUON_SACH.TrangThai</t>
  </si>
  <si>
    <t xml:space="preserve">Mượn 3 cuốn cùng giá → giảm 3</t>
  </si>
  <si>
    <t xml:space="preserve">Mượn cuốn đang 'DangMuon' → bị chặn E104 (kiểm ở TX1)</t>
  </si>
  <si>
    <t xml:space="preserve">TRG5</t>
  </si>
  <si>
    <t xml:space="preserve">trg_CTMuon_GiamTuoiTho</t>
  </si>
  <si>
    <t xml:space="preserve">CT_MUON · AFTER INSERT (FOLLOWS TRG4)</t>
  </si>
  <si>
    <t xml:space="preserve">Mỗi lần mượn tuổi thọ giảm 1 tháng</t>
  </si>
  <si>
    <t xml:space="preserve">UPDATE CUON_SACH SET TuoiThoConLaiThang = TuoiThoConLaiThang − 1; về 0 → TrangThai 'ChoThanhLy'</t>
  </si>
  <si>
    <t xml:space="preserve">Cuốn còn 5 tháng → còn 4</t>
  </si>
  <si>
    <t xml:space="preserve">Cuốn còn 1 tháng → về 0, chuyển 'ChoThanhLy'</t>
  </si>
  <si>
    <t xml:space="preserve">TRG6</t>
  </si>
  <si>
    <t xml:space="preserve">trg_CuonSach_DungGia</t>
  </si>
  <si>
    <t xml:space="preserve">CUON_SACH · BEFORE INSERT / BEFORE UPDATE (MaGia)</t>
  </si>
  <si>
    <t xml:space="preserve">Mỗi giá chỉ chứa sách cùng thể loại, không vượt sức chứa</t>
  </si>
  <si>
    <t xml:space="preserve">GIA_SACH.MaTheLoai ≠ LEFT(NEW.MaDauSach,2) hoặc giá đầy → SIGNAL</t>
  </si>
  <si>
    <t xml:space="preserve">E301</t>
  </si>
  <si>
    <t xml:space="preserve">Xếp cuốn TR lên giá TR → OK</t>
  </si>
  <si>
    <t xml:space="preserve">Xếp cuốn TK lên giá TR → bị chặn E301</t>
  </si>
  <si>
    <t xml:space="preserve">TRG7</t>
  </si>
  <si>
    <t xml:space="preserve">trg_ThuePhong_KhongTrung</t>
  </si>
  <si>
    <t xml:space="preserve">PHIEU_THUE_PHONG · BEFORE INSERT / BEFORE UPDATE</t>
  </si>
  <si>
    <t xml:space="preserve">Một phòng không có 2 lượt thuê trùng giờ</t>
  </si>
  <si>
    <t xml:space="preserve">EXISTS lượt cùng phòng, chưa hủy, BatDau &lt; NEW.KetThuc AND KetThuc &gt; NEW.BatDau → SIGNAL</t>
  </si>
  <si>
    <t xml:space="preserve">E201</t>
  </si>
  <si>
    <t xml:space="preserve">Thuê 9–11h khi đã có 7–9h → OK</t>
  </si>
  <si>
    <t xml:space="preserve">Thuê 8–10h khi đã có 7–9h → bị chặn E201</t>
  </si>
  <si>
    <t xml:space="preserve">TRG8</t>
  </si>
  <si>
    <t xml:space="preserve">trg_DocGia_ChanXoa / trg_DocGia_ChanSuaMa</t>
  </si>
  <si>
    <t xml:space="preserve">DOC_GIA · BEFORE DELETE và BEFORE UPDATE</t>
  </si>
  <si>
    <t xml:space="preserve">Không xóa độc giả còn giữ sách/còn nợ phạt; không sửa mã</t>
  </si>
  <si>
    <t xml:space="preserve">Còn CT_MUON chưa trả hoặc PHIEU_PHAT chưa thanh toán → SIGNAL; NEW.MaNguoi &lt;&gt; OLD.MaNguoi → SIGNAL</t>
  </si>
  <si>
    <t xml:space="preserve">E401, E402</t>
  </si>
  <si>
    <t xml:space="preserve">Xóa độc giả đã trả hết, không nợ → OK</t>
  </si>
  <si>
    <t xml:space="preserve">Xóa độc giả đang giữ 2 cuốn → bị chặn E401</t>
  </si>
  <si>
    <t xml:space="preserve">TX1</t>
  </si>
  <si>
    <t xml:space="preserve">sp_MuonSach(p_MaDocGia, p_MaThuThu, p_DsCuon JSON, p_NgayMuon)</t>
  </si>
  <si>
    <t xml:space="preserve">PHIEU_MUON, CT_MUON (+ TRG1, 2, 4, 5)</t>
  </si>
  <si>
    <t xml:space="preserve">Mượn 1–10 cuốn trong một lần</t>
  </si>
  <si>
    <t xml:space="preserve">Kiểm thẻ còn hạn (E103) → SELECT … FOR UPDATE các cuốn, phải 'TrenGia' (E104) → tạo phiếu → INSERT CT_MUON với HanTra = fn_HanTra → COMMIT; lỗi → ROLLBACK cả phiếu</t>
  </si>
  <si>
    <t xml:space="preserve">E103, E104</t>
  </si>
  <si>
    <t xml:space="preserve">Mượn 3 cuốn hợp lệ → 1 phiếu, 3 dòng chi tiết</t>
  </si>
  <si>
    <t xml:space="preserve">1 trong 3 cuốn đang được mượn → không tạo gì cả</t>
  </si>
  <si>
    <t xml:space="preserve">TX2</t>
  </si>
  <si>
    <t xml:space="preserve">sp_TraSach(p_MaDocGia, p_MaThuThu, p_DsCuon JSON, p_NgayTra)</t>
  </si>
  <si>
    <t xml:space="preserve">PHIEU_TRA, CT_MUON (+ TRG3, 4)</t>
  </si>
  <si>
    <t xml:space="preserve">Trả 1 đến nhiều cuốn</t>
  </si>
  <si>
    <t xml:space="preserve">Tạo PHIEU_TRA → UPDATE CT_MUON SET MaPhieuTra → trả về tổng tiền phạt; ngày trả &lt; ngày mượn → SIGNAL</t>
  </si>
  <si>
    <t xml:space="preserve">E105</t>
  </si>
  <si>
    <t xml:space="preserve">Trả 2 cuốn, 1 trễ → 1 phiếu phạt</t>
  </si>
  <si>
    <t xml:space="preserve">Trả cuốn độc giả không mượn → ROLLBACK</t>
  </si>
  <si>
    <t xml:space="preserve">TX3</t>
  </si>
  <si>
    <t xml:space="preserve">sp_ThanhToanPhat(p_MaDocGia, p_MaThuThu)</t>
  </si>
  <si>
    <t xml:space="preserve">PHIEU_PHAT</t>
  </si>
  <si>
    <t xml:space="preserve">Thanh toán toàn bộ phạt chưa trả</t>
  </si>
  <si>
    <t xml:space="preserve">UPDATE DaThanhToan = 1, NgayThanhToan; trả về tổng tiền</t>
  </si>
  <si>
    <t xml:space="preserve">Độc giả nợ 2 phiếu → cả 2 đã thanh toán</t>
  </si>
  <si>
    <t xml:space="preserve">Không có phiếu nợ → báo E106</t>
  </si>
  <si>
    <t xml:space="preserve">TX4</t>
  </si>
  <si>
    <t xml:space="preserve">sp_NhapLoSach(p_MaDauSach, p_TenSach, p_MaTheLoai, p_TacGia JSON, p_SoLuong, p_MaGia)</t>
  </si>
  <si>
    <t xml:space="preserve">DAU_SACH, TAC_GIA, DAU_SACH_TAC_GIA, CUON_SACH (+ TRG6)</t>
  </si>
  <si>
    <t xml:space="preserve">Nhập sách mới theo đầu sách</t>
  </si>
  <si>
    <t xml:space="preserve">Tạo đầu sách nếu chưa có → tạo n cuốn STT tiếp theo, tuổi thọ = TuoiThoNam × 12 → cập nhật giá; giá đầy/khác thể loại → ROLLBACK</t>
  </si>
  <si>
    <t xml:space="preserve">Nhập 5 cuốn đầu sách mới → 5 mã TR0301-001..005</t>
  </si>
  <si>
    <t xml:space="preserve">Nhập 20 cuốn vào giá còn 10 chỗ → không nhập cuốn nào</t>
  </si>
  <si>
    <t xml:space="preserve">TX5</t>
  </si>
  <si>
    <t xml:space="preserve">sp_ThanhLySach(p_NgayThanhLy)</t>
  </si>
  <si>
    <t xml:space="preserve">SACH_THANH_LY, CUON_SACH, GIA_SACH</t>
  </si>
  <si>
    <t xml:space="preserve">Sách hết niên hạn tách khỏi CSDL đang quản lý</t>
  </si>
  <si>
    <t xml:space="preserve">INSERT SACH_THANH_LY SELECT cuốn 'ChoThanhLy' và không đang mượn → DELETE khỏi CUON_SACH → giảm số lượng trên giá</t>
  </si>
  <si>
    <t xml:space="preserve">3 cuốn hết hạn → chuyển sang SACH_THANH_LY</t>
  </si>
  <si>
    <t xml:space="preserve">Cuốn hết hạn nhưng đang được mượn → giữ lại</t>
  </si>
  <si>
    <t xml:space="preserve">TX6</t>
  </si>
  <si>
    <t xml:space="preserve">sp_DangKyDocGia(p_Ho, p_Dem, p_Ten, p_NgaySinh, p_DiaChi…, p_DsSDT JSON, p_MaChiNhanh)</t>
  </si>
  <si>
    <t xml:space="preserve">NGUOI, DOC_GIA, SDT_NGUOI, THE_DOC_GIA</t>
  </si>
  <si>
    <t xml:space="preserve">Đăng ký độc giả + cấp thẻ 1 năm</t>
  </si>
  <si>
    <t xml:space="preserve">INSERT 4 bảng trong 1 giao dịch; SĐT sai định dạng → ROLLBACK</t>
  </si>
  <si>
    <t xml:space="preserve">Đăng ký với 2 SĐT → 4 bảng có dữ liệu</t>
  </si>
  <si>
    <t xml:space="preserve">SĐT thứ 2 sai → không còn bản ghi nào</t>
  </si>
  <si>
    <t xml:space="preserve">TX7</t>
  </si>
  <si>
    <t xml:space="preserve">sp_ThuePhong(p_MaDocGia, p_MaPhongDoc, p_MaThuThu, p_BatDau, p_KetThuc, p_SoNguoi)</t>
  </si>
  <si>
    <t xml:space="preserve">PHIEU_THUE_PHONG (+ TRG7)</t>
  </si>
  <si>
    <t xml:space="preserve">Thuê phòng học nhóm/hội thảo</t>
  </si>
  <si>
    <t xml:space="preserve">Kiểm thẻ (E103), nợ phạt (E107), sức chứa (E202), số giờ theo loại phòng, đặt trước ≤ 14 ngày → INSERT với TongTien = số giờ × giá</t>
  </si>
  <si>
    <t xml:space="preserve">E103, E107, E202</t>
  </si>
  <si>
    <t xml:space="preserve">Nhóm 6 người thuê phòng 10 chỗ 2 giờ → 100.000đ</t>
  </si>
  <si>
    <t xml:space="preserve">12 người thuê phòng 10 chỗ → bị chặn E202</t>
  </si>
  <si>
    <t xml:space="preserve">6 truy vấn hiển thị bắt buộc của đề (TV5)</t>
  </si>
  <si>
    <t xml:space="preserve">Mỗi truy vấn kèm biểu thức đại số quan hệ trong báo cáo. Ngày tham chiếu 'hôm nay' dùng tham số p_Ngay để demo được với dữ liệu quá khứ.</t>
  </si>
  <si>
    <t xml:space="preserve">Yêu cầu của đề</t>
  </si>
  <si>
    <t xml:space="preserve">Bảng dùng</t>
  </si>
  <si>
    <t xml:space="preserve">Kỹ thuật SQL</t>
  </si>
  <si>
    <t xml:space="preserve">Sắp xếp</t>
  </si>
  <si>
    <t xml:space="preserve">Biểu thức ĐSQH (điền)</t>
  </si>
  <si>
    <t xml:space="preserve">Sách đã được mượn (chưa trả), sắp theo thời hạn trả</t>
  </si>
  <si>
    <t xml:space="preserve">v_SachDangMuon</t>
  </si>
  <si>
    <t xml:space="preserve">CT_MUON, PHIEU_MUON, CUON_SACH, DAU_SACH, DOC_GIA/NGUOI</t>
  </si>
  <si>
    <t xml:space="preserve">WHERE MaPhieuTra IS NULL; JOIN 5 bảng</t>
  </si>
  <si>
    <t xml:space="preserve">HanTra ASC</t>
  </si>
  <si>
    <t xml:space="preserve">Sách quá hạn trả, sắp theo số ngày quá hạn</t>
  </si>
  <si>
    <t xml:space="preserve">sp_SachQuaHan(p_Ngay)</t>
  </si>
  <si>
    <t xml:space="preserve">CT_MUON, PHIEU_MUON, CUON_SACH, DAU_SACH</t>
  </si>
  <si>
    <t xml:space="preserve">DATEDIFF(p_Ngay, HanTra) &gt; 0 AND MaPhieuTra IS NULL</t>
  </si>
  <si>
    <t xml:space="preserve">Số ngày quá hạn DESC</t>
  </si>
  <si>
    <t xml:space="preserve">Đầu sách theo lượt mượn nhiều nhất</t>
  </si>
  <si>
    <t xml:space="preserve">v_DauSachTheoLuotMuon</t>
  </si>
  <si>
    <t xml:space="preserve">DAU_SACH, CUON_SACH, CT_MUON</t>
  </si>
  <si>
    <t xml:space="preserve">LEFT JOIN + GROUP BY MaDauSach + COUNT</t>
  </si>
  <si>
    <t xml:space="preserve">Lượt mượn DESC</t>
  </si>
  <si>
    <t xml:space="preserve">Độc giả có sách trả muộn, theo tổng tiền phạt rồi số sách trả muộn</t>
  </si>
  <si>
    <t xml:space="preserve">v_DocGiaTraMuon</t>
  </si>
  <si>
    <t xml:space="preserve">PHIEU_PHAT, CT_MUON, PHIEU_MUON, DOC_GIA/NGUOI</t>
  </si>
  <si>
    <t xml:space="preserve">GROUP BY độc giả; SUM(SoTien), COUNT(*)</t>
  </si>
  <si>
    <t xml:space="preserve">Tổng phạt DESC, số sách trễ DESC</t>
  </si>
  <si>
    <t xml:space="preserve">Sách sắp hết hạn sử dụng (còn dưới 2 năm)</t>
  </si>
  <si>
    <t xml:space="preserve">v_SachSapHetHan</t>
  </si>
  <si>
    <t xml:space="preserve">CUON_SACH, DAU_SACH, THE_LOAI</t>
  </si>
  <si>
    <t xml:space="preserve">WHERE TuoiThoConLaiThang &lt; 24</t>
  </si>
  <si>
    <t xml:space="preserve">Tuổi thọ còn lại ASC</t>
  </si>
  <si>
    <t xml:space="preserve">Phòng đọc đã có / chưa có người sử dụng tại một thời điểm</t>
  </si>
  <si>
    <t xml:space="preserve">sp_PhongTaiThoiDiem(p_ThoiDiem)</t>
  </si>
  <si>
    <t xml:space="preserve">PHONG_DOC, PHIEU_THUE_PHONG</t>
  </si>
  <si>
    <t xml:space="preserve">LEFT JOIN … ON BatDau ≤ p_ThoiDiem &lt; KetThuc; CASE → 'Đang dùng'/'Trống'</t>
  </si>
  <si>
    <t xml:space="preserve">Chi nhánh, trạng thái</t>
  </si>
  <si>
    <t xml:space="preserve">Danh mục 23 bảng – hợp đồng dữ liệu (schema v0 do TV1 soạn)</t>
  </si>
  <si>
    <t xml:space="preserve">Đây là gợi ý ban đầu; bản chốt là db/00_schema.sql v1 sau cuộc gọi 19/10.</t>
  </si>
  <si>
    <t xml:space="preserve">Bảng</t>
  </si>
  <si>
    <t xml:space="preserve">Chủ</t>
  </si>
  <si>
    <t xml:space="preserve">Khóa chính</t>
  </si>
  <si>
    <t xml:space="preserve">Khóa ngoại</t>
  </si>
  <si>
    <t xml:space="preserve">Thuộc tính chính</t>
  </si>
  <si>
    <t xml:space="preserve">CHECK / UNIQUE</t>
  </si>
  <si>
    <t xml:space="preserve">Vai trò trong ERD</t>
  </si>
  <si>
    <t xml:space="preserve">THE_LOAI</t>
  </si>
  <si>
    <t xml:space="preserve">Kho sách</t>
  </si>
  <si>
    <t xml:space="preserve">MaTheLoai</t>
  </si>
  <si>
    <t xml:space="preserve">TenTheLoai, SoNgayMuon, TuoiThoNam</t>
  </si>
  <si>
    <t xml:space="preserve">SoNgayMuon &gt; 0, TuoiThoNam &gt; 0</t>
  </si>
  <si>
    <t xml:space="preserve">Thực thể mạnh</t>
  </si>
  <si>
    <t xml:space="preserve">DAU_SACH</t>
  </si>
  <si>
    <t xml:space="preserve">MaDauSach (TR0012)</t>
  </si>
  <si>
    <t xml:space="preserve">MaTheLoai → THE_LOAI</t>
  </si>
  <si>
    <t xml:space="preserve">TenSach, NhaXuatBan, NamXuatBan, SoNgayMuonRieng (NULL)</t>
  </si>
  <si>
    <t xml:space="preserve">MaTheLoai = LEFT(MaDauSach,2)</t>
  </si>
  <si>
    <t xml:space="preserve">Thực thể mạnh, sở hữu CUON_SACH</t>
  </si>
  <si>
    <t xml:space="preserve">TAC_GIA</t>
  </si>
  <si>
    <t xml:space="preserve">MaTacGia</t>
  </si>
  <si>
    <t xml:space="preserve">TenTacGia, QuocTich</t>
  </si>
  <si>
    <t xml:space="preserve">DAU_SACH_TAC_GIA</t>
  </si>
  <si>
    <t xml:space="preserve">(MaDauSach, MaTacGia)</t>
  </si>
  <si>
    <t xml:space="preserve">→ DAU_SACH, → TAC_GIA</t>
  </si>
  <si>
    <t xml:space="preserve">N:N (từ thuộc tính đa trị tác giả)</t>
  </si>
  <si>
    <t xml:space="preserve">PHONG_KHO</t>
  </si>
  <si>
    <t xml:space="preserve">MaPhongKho</t>
  </si>
  <si>
    <t xml:space="preserve">MaChiNhanh → CHI_NHANH</t>
  </si>
  <si>
    <t xml:space="preserve">TenPhong, Tang</t>
  </si>
  <si>
    <t xml:space="preserve">Phòng đựng sách</t>
  </si>
  <si>
    <t xml:space="preserve">GIA_SACH</t>
  </si>
  <si>
    <t xml:space="preserve">MaGia</t>
  </si>
  <si>
    <t xml:space="preserve">MaPhongKho → PHONG_KHO; MaTheLoai → THE_LOAI</t>
  </si>
  <si>
    <t xml:space="preserve">SucChua, SoLuongHienCo</t>
  </si>
  <si>
    <t xml:space="preserve">0 ≤ SoLuongHienCo ≤ SucChua</t>
  </si>
  <si>
    <t xml:space="preserve">1:N với PHONG_KHO</t>
  </si>
  <si>
    <t xml:space="preserve">CUON_SACH</t>
  </si>
  <si>
    <t xml:space="preserve">MaCuonSach (TR0012-003)</t>
  </si>
  <si>
    <t xml:space="preserve">MaDauSach → DAU_SACH; MaGia → GIA_SACH</t>
  </si>
  <si>
    <t xml:space="preserve">STT, NgayNhap, TuoiThoConLaiThang, TrangThai</t>
  </si>
  <si>
    <t xml:space="preserve">MaCuonSach = CONCAT(MaDauSach,'-',LPAD(STT,3,'0')); UNIQUE(MaDauSach,STT); TrangThai IN (…)</t>
  </si>
  <si>
    <t xml:space="preserve">Thực thể yếu (khóa bán phần STT)</t>
  </si>
  <si>
    <t xml:space="preserve">SACH_THANH_LY</t>
  </si>
  <si>
    <t xml:space="preserve">MaCuonSach</t>
  </si>
  <si>
    <t xml:space="preserve">MaDauSach → DAU_SACH</t>
  </si>
  <si>
    <t xml:space="preserve">STT, NgayNhap, NgayThanhLy, LyDo</t>
  </si>
  <si>
    <t xml:space="preserve">Danh mục sách hết niên hạn</t>
  </si>
  <si>
    <t xml:space="preserve">CHI_NHANH</t>
  </si>
  <si>
    <t xml:space="preserve">Con người</t>
  </si>
  <si>
    <t xml:space="preserve">MaChiNhanh</t>
  </si>
  <si>
    <t xml:space="preserve">MaThuThuTruong → THU_THU (UNIQUE, ALTER sau)</t>
  </si>
  <si>
    <t xml:space="preserve">TenChiNhanh, DiaChi, GioMo, GioDong</t>
  </si>
  <si>
    <t xml:space="preserve">GioMo &lt; GioDong</t>
  </si>
  <si>
    <t xml:space="preserve">1:1 với thủ thư trưởng</t>
  </si>
  <si>
    <t xml:space="preserve">NGUOI</t>
  </si>
  <si>
    <t xml:space="preserve">MaNguoi</t>
  </si>
  <si>
    <t xml:space="preserve">Ho, Dem, Ten, NgaySinh, GioiTinh, SoNha, Phuong, Quan, TinhTP, Email, LoaiNguoi</t>
  </si>
  <si>
    <t xml:space="preserve">LoaiNguoi IN ('DG','TT'); Email UNIQUE</t>
  </si>
  <si>
    <t xml:space="preserve">Lớp cha ISA; thuộc tính kép</t>
  </si>
  <si>
    <t xml:space="preserve">SDT_NGUOI</t>
  </si>
  <si>
    <t xml:space="preserve">(MaNguoi, SoDienThoai)</t>
  </si>
  <si>
    <t xml:space="preserve">MaNguoi → NGUOI</t>
  </si>
  <si>
    <t xml:space="preserve">SoDienThoai REGEXP '^0[0-9]{9}$'</t>
  </si>
  <si>
    <t xml:space="preserve">Thuộc tính đa trị</t>
  </si>
  <si>
    <t xml:space="preserve">DOC_GIA</t>
  </si>
  <si>
    <t xml:space="preserve">MaNguoi → NGUOI; MaChiNhanh → CHI_NHANH</t>
  </si>
  <si>
    <t xml:space="preserve">NgayDangKy, TrangThai</t>
  </si>
  <si>
    <t xml:space="preserve">Lớp con ISA</t>
  </si>
  <si>
    <t xml:space="preserve">THE_DOC_GIA</t>
  </si>
  <si>
    <t xml:space="preserve">SoThe</t>
  </si>
  <si>
    <t xml:space="preserve">MaNguoi → DOC_GIA (UNIQUE)</t>
  </si>
  <si>
    <t xml:space="preserve">NgayCap, NgayHetHan</t>
  </si>
  <si>
    <t xml:space="preserve">NgayHetHan &gt; NgayCap</t>
  </si>
  <si>
    <t xml:space="preserve">1:1 với độc giả</t>
  </si>
  <si>
    <t xml:space="preserve">THU_THU</t>
  </si>
  <si>
    <t xml:space="preserve">MaNguoi → NGUOI; MaChiNhanh → CHI_NHANH; MaQuanLy → THU_THU</t>
  </si>
  <si>
    <t xml:space="preserve">NgayVaoLam</t>
  </si>
  <si>
    <t xml:space="preserve">MaQuanLy &lt;&gt; MaNguoi</t>
  </si>
  <si>
    <t xml:space="preserve">Lớp con ISA; liên kết đệ quy</t>
  </si>
  <si>
    <t xml:space="preserve">PHIEU_MUON</t>
  </si>
  <si>
    <t xml:space="preserve">Mượn trả</t>
  </si>
  <si>
    <t xml:space="preserve">MaPhieuMuon</t>
  </si>
  <si>
    <t xml:space="preserve">MaDocGia → DOC_GIA; MaThuThu → THU_THU</t>
  </si>
  <si>
    <t xml:space="preserve">NgayMuon</t>
  </si>
  <si>
    <t xml:space="preserve">Liên kết 3 ngôi (với CT_MUON)</t>
  </si>
  <si>
    <t xml:space="preserve">CT_MUON</t>
  </si>
  <si>
    <t xml:space="preserve">(MaPhieuMuon, MaCuonSach)</t>
  </si>
  <si>
    <t xml:space="preserve">→ PHIEU_MUON; → CUON_SACH; MaPhieuTra → PHIEU_TRA (NULL)</t>
  </si>
  <si>
    <t xml:space="preserve">HanTra</t>
  </si>
  <si>
    <t xml:space="preserve">N:N có thuộc tính; (min,max) (1,10)</t>
  </si>
  <si>
    <t xml:space="preserve">PHIEU_TRA</t>
  </si>
  <si>
    <t xml:space="preserve">MaPhieuTra</t>
  </si>
  <si>
    <t xml:space="preserve">NgayTra</t>
  </si>
  <si>
    <t xml:space="preserve">Trả 1–n cuốn</t>
  </si>
  <si>
    <t xml:space="preserve">BANG_PHI_PHAT</t>
  </si>
  <si>
    <t xml:space="preserve">PhatCoBan, PhatMoiNgay</t>
  </si>
  <si>
    <t xml:space="preserve">&gt; 0</t>
  </si>
  <si>
    <t xml:space="preserve">Tách từ PTH bắc cầu</t>
  </si>
  <si>
    <t xml:space="preserve">MaPhieuPhat</t>
  </si>
  <si>
    <t xml:space="preserve">(MaPhieuMuon, MaCuonSach) → CT_MUON</t>
  </si>
  <si>
    <t xml:space="preserve">SoNgayTre, SoTien, DaThanhToan, NgayThanhToan</t>
  </si>
  <si>
    <t xml:space="preserve">SoTien ≥ 0; SoNgayTre &gt; 0</t>
  </si>
  <si>
    <t xml:space="preserve">Thuộc tính dẫn xuất (lưu snapshot)</t>
  </si>
  <si>
    <t xml:space="preserve">PHONG_DOC</t>
  </si>
  <si>
    <t xml:space="preserve">Phòng đọc</t>
  </si>
  <si>
    <t xml:space="preserve">MaPhongDoc</t>
  </si>
  <si>
    <t xml:space="preserve">MaChiNhanh → CHI_NHANH; LoaiPhong → BANG_GIA_PHONG</t>
  </si>
  <si>
    <t xml:space="preserve">TenPhong, SucChua</t>
  </si>
  <si>
    <t xml:space="preserve">SucChua &gt; 0</t>
  </si>
  <si>
    <t xml:space="preserve">BANG_GIA_PHONG</t>
  </si>
  <si>
    <t xml:space="preserve">LoaiPhong</t>
  </si>
  <si>
    <t xml:space="preserve">GiaMoiGio, SoGioToiThieu, SoGioToiDa</t>
  </si>
  <si>
    <t xml:space="preserve">SoGioToiThieu ≤ SoGioToiDa</t>
  </si>
  <si>
    <t xml:space="preserve">Danh mục giá</t>
  </si>
  <si>
    <t xml:space="preserve">PHIEU_THUE_PHONG</t>
  </si>
  <si>
    <t xml:space="preserve">MaPhieuThue</t>
  </si>
  <si>
    <t xml:space="preserve">MaDocGia → DOC_GIA; MaPhongDoc → PHONG_DOC; MaThuThuDuyet → THU_THU</t>
  </si>
  <si>
    <t xml:space="preserve">BatDau, KetThuc, SoNguoi, MucDich, TongTien, TrangThai</t>
  </si>
  <si>
    <t xml:space="preserve">KetThuc &gt; BatDau; trong 07:00–21:00; giờ tròn</t>
  </si>
  <si>
    <t xml:space="preserve">Kết hợp (aggregation)</t>
  </si>
  <si>
    <t xml:space="preserve">— (view/index/role)</t>
  </si>
  <si>
    <t xml:space="preserve">6 view/procedure báo cáo, index, role</t>
  </si>
  <si>
    <t xml:space="preserve">Không tạo bảng</t>
  </si>
  <si>
    <t xml:space="preserve">Checklist 'đủ mọi loại' thực thể, thuộc tính, liên kết</t>
  </si>
  <si>
    <t xml:space="preserve">TV1 tick khi ghép ERD tổng (NV09).</t>
  </si>
  <si>
    <t xml:space="preserve">Loại (chương 3)</t>
  </si>
  <si>
    <t xml:space="preserve">Ví dụ trong kịch bản</t>
  </si>
  <si>
    <t xml:space="preserve">Đã có trong ERD tổng?</t>
  </si>
  <si>
    <t xml:space="preserve">Tập thực thể mạnh</t>
  </si>
  <si>
    <t xml:space="preserve">DAU_SACH, DOC_GIA, PHONG_DOC</t>
  </si>
  <si>
    <t xml:space="preserve">Tất cả</t>
  </si>
  <si>
    <t xml:space="preserve">Tập thực thể yếu</t>
  </si>
  <si>
    <t xml:space="preserve">CUON_SACH phụ thuộc DAU_SACH (khóa bán phần STT)</t>
  </si>
  <si>
    <t xml:space="preserve">Thuộc tính kép</t>
  </si>
  <si>
    <t xml:space="preserve">Họ tên (họ, đệm, tên); địa chỉ (số nhà, phường, quận, tỉnh)</t>
  </si>
  <si>
    <t xml:space="preserve">SĐT của người; tác giả của đầu sách</t>
  </si>
  <si>
    <t xml:space="preserve">TV2, TV1</t>
  </si>
  <si>
    <t xml:space="preserve">Thuộc tính dẫn xuất</t>
  </si>
  <si>
    <t xml:space="preserve">Tuổi; số ngày quá hạn; tiền phạt; tuổi thọ còn lại</t>
  </si>
  <si>
    <t xml:space="preserve">TV2, TV3, TV1</t>
  </si>
  <si>
    <t xml:space="preserve">Thuộc tính rỗng</t>
  </si>
  <si>
    <t xml:space="preserve">CT_MUON.MaPhieuTra (NULL khi chưa trả); DAU_SACH.SoNgayMuonRieng</t>
  </si>
  <si>
    <t xml:space="preserve">TV3, TV1</t>
  </si>
  <si>
    <t xml:space="preserve">Liên kết 1:1</t>
  </si>
  <si>
    <t xml:space="preserve">CHI_NHANH – THU_THU (thủ thư trưởng); DOC_GIA – THE_DOC_GIA</t>
  </si>
  <si>
    <t xml:space="preserve">Liên kết 1:N</t>
  </si>
  <si>
    <t xml:space="preserve">PHONG_KHO – GIA_SACH; GIA_SACH – CUON_SACH</t>
  </si>
  <si>
    <t xml:space="preserve">Liên kết N:N có thuộc tính</t>
  </si>
  <si>
    <t xml:space="preserve">PHIEU_MUON – CUON_SACH qua CT_MUON (HanTra)</t>
  </si>
  <si>
    <t xml:space="preserve">Liên kết đệ quy</t>
  </si>
  <si>
    <t xml:space="preserve">THU_THU quản lý THU_THU</t>
  </si>
  <si>
    <t xml:space="preserve">Liên kết 3 ngôi</t>
  </si>
  <si>
    <t xml:space="preserve">THU_THU – DOC_GIA – CUON_SACH trong lần mượn</t>
  </si>
  <si>
    <t xml:space="preserve">ISA (cụ thể hóa)</t>
  </si>
  <si>
    <t xml:space="preserve">NGUOI → DOC_GIA / THU_THU (disjoint, toàn bộ)</t>
  </si>
  <si>
    <t xml:space="preserve">Phiếu thuê (DOC_GIA – PHONG_DOC) được THU_THU duyệt</t>
  </si>
  <si>
    <t xml:space="preserve">Ràng buộc (min,max)</t>
  </si>
  <si>
    <t xml:space="preserve">Phiếu mượn (1,10) cuốn; độc giả (0,50) cuốn đang giữ</t>
  </si>
  <si>
    <t xml:space="preserve">Thông số kịch bản nhóm tự quy định</t>
  </si>
  <si>
    <t xml:space="preserve">Phạt và tuổi thọ của Truyện, Tham khảo theo đúng đề; các dòng khác nhóm tự đặt. Cột tính toán dùng công thức.</t>
  </si>
  <si>
    <t xml:space="preserve">Thể loại</t>
  </si>
  <si>
    <t xml:space="preserve">Hạn mượn (ngày)</t>
  </si>
  <si>
    <t xml:space="preserve">Tuổi thọ (năm)</t>
  </si>
  <si>
    <t xml:space="preserve">Tuổi thọ (tháng)</t>
  </si>
  <si>
    <t xml:space="preserve">Phạt cơ bản/cuốn (đ)</t>
  </si>
  <si>
    <t xml:space="preserve">Phạt thêm/ngày (đ)</t>
  </si>
  <si>
    <t xml:space="preserve">Ví dụ: trễ 3 ngày (đ)</t>
  </si>
  <si>
    <t xml:space="preserve">TR</t>
  </si>
  <si>
    <t xml:space="preserve">Truyện</t>
  </si>
  <si>
    <t xml:space="preserve">TK</t>
  </si>
  <si>
    <t xml:space="preserve">Tài liệu tham khảo</t>
  </si>
  <si>
    <t xml:space="preserve">GT</t>
  </si>
  <si>
    <t xml:space="preserve">Giáo trình</t>
  </si>
  <si>
    <t xml:space="preserve">KH</t>
  </si>
  <si>
    <t xml:space="preserve">Khoa học phổ thông</t>
  </si>
  <si>
    <t xml:space="preserve">NV</t>
  </si>
  <si>
    <t xml:space="preserve">Sách ngoại văn</t>
  </si>
  <si>
    <t xml:space="preserve">TC</t>
  </si>
  <si>
    <t xml:space="preserve">Tạp chí</t>
  </si>
  <si>
    <t xml:space="preserve">Hạn trả = Ngày mượn + COALESCE(DAU_SACH.SoNgayMuonRieng, THE_LOAI.SoNgayMuon). Tiền phạt = phạt cơ bản + phạt/ngày × số ngày trễ. Số màu xanh là giá trị nhập.</t>
  </si>
  <si>
    <t xml:space="preserve">Loại phòng</t>
  </si>
  <si>
    <t xml:space="preserve">Số phòng/chi nhánh</t>
  </si>
  <si>
    <t xml:space="preserve">Sức chứa (người)</t>
  </si>
  <si>
    <t xml:space="preserve">Giá (đ/giờ)</t>
  </si>
  <si>
    <t xml:space="preserve">Số giờ tối thiểu</t>
  </si>
  <si>
    <t xml:space="preserve">Số giờ tối đa</t>
  </si>
  <si>
    <t xml:space="preserve">Giá tối đa 1 lượt (đ)</t>
  </si>
  <si>
    <t xml:space="preserve">Học nhóm</t>
  </si>
  <si>
    <t xml:space="preserve">4–10</t>
  </si>
  <si>
    <t xml:space="preserve">Hội thảo</t>
  </si>
  <si>
    <t xml:space="preserve">20–60</t>
  </si>
  <si>
    <t xml:space="preserve">Tổng số phòng (3 chi nhánh):</t>
  </si>
  <si>
    <t xml:space="preserve">Luật thuê: giờ tròn, trong 07:00–21:00; đặt trước tối đa 14 ngày; không vượt sức chứa; không trùng giờ; thẻ hết hạn hoặc còn nợ phạt không được thuê.</t>
  </si>
  <si>
    <t xml:space="preserve">Khác</t>
  </si>
  <si>
    <t xml:space="preserve">Chi nhánh</t>
  </si>
  <si>
    <t xml:space="preserve">3: CN01 Cầu Giấy, CN02 Hà Đông, CN03 Hoàn Kiếm; mở cửa 07:00–21:00</t>
  </si>
  <si>
    <t xml:space="preserve">Phòng kho / giá sách</t>
  </si>
  <si>
    <t xml:space="preserve">2 phòng kho mỗi chi nhánh; mỗi giá tối đa 100 cuốn cùng thể loại</t>
  </si>
  <si>
    <t xml:space="preserve">Thẻ độc giả</t>
  </si>
  <si>
    <t xml:space="preserve">Hiệu lực 1 năm, gia hạn 1 năm; thẻ hết hạn không được mượn</t>
  </si>
  <si>
    <t xml:space="preserve">Giới hạn mượn (đề)</t>
  </si>
  <si>
    <t xml:space="preserve">Tối đa 10 cuốn mỗi lần; tối đa 50 cuốn đang giữ; trả 1–n cuốn mỗi lần</t>
  </si>
  <si>
    <t xml:space="preserve">Thời gian dữ liệu</t>
  </si>
  <si>
    <t xml:space="preserve">01/07/2026 – 30/09/2026 (3 tháng)</t>
  </si>
  <si>
    <t xml:space="preserve">Quy mô dữ liệu</t>
  </si>
  <si>
    <t xml:space="preserve">300 đầu sách, 1.500 cuốn, 200 độc giả, 15 thủ thư, ~800 phiếu mượn, 21 phòng đọc, ~150 lượt thuê</t>
  </si>
  <si>
    <t xml:space="preserve">3 site = 3 chi nhánh; minh họa bằng 3 database QLTV_CN01..03 trên cùng server MariaDB</t>
  </si>
  <si>
    <t xml:space="preserve">Hệ quản trị</t>
  </si>
  <si>
    <t xml:space="preserve">MariaDB 11.4 LTS, InnoDB, utf8mb4 / utf8mb4_unicode_ci</t>
  </si>
  <si>
    <t xml:space="preserve">Lộ trình và mốc tự kiểm tra</t>
  </si>
  <si>
    <t xml:space="preserve">Cả kỳ chỉ 3 cuộc gọi online. Tiến độ báo bằng tin nhắn tối thứ Ba và thứ Sáu.</t>
  </si>
  <si>
    <t xml:space="preserve">Ngày</t>
  </si>
  <si>
    <t xml:space="preserve">Nội dung</t>
  </si>
  <si>
    <t xml:space="preserve">Ai</t>
  </si>
  <si>
    <t xml:space="preserve">Mốc</t>
  </si>
  <si>
    <t xml:space="preserve">TV1 gửi ERD khung + schema v0 + thông số kịch bản</t>
  </si>
  <si>
    <t xml:space="preserve">Hết hạn góp ý schema (im lặng = đồng ý)</t>
  </si>
  <si>
    <t xml:space="preserve">Cuộc gọi 1 (45')</t>
  </si>
  <si>
    <t xml:space="preserve">Chốt schema v1; TV5 chốt quy ước procedure; ERD con xong</t>
  </si>
  <si>
    <t xml:space="preserve">PTH, khóa, BCNF xong; DDL mỗi mảng chạy trong build_all.sql</t>
  </si>
  <si>
    <t xml:space="preserve">TV1–TV4</t>
  </si>
  <si>
    <t xml:space="preserve">Có dữ liệu mẫu tối thiểu; procedure CRUD của mỗi người chạy được</t>
  </si>
  <si>
    <t xml:space="preserve">Đủ 8 trigger, 7 transaction, 6 truy vấn; dữ liệu 3 tháng</t>
  </si>
  <si>
    <t xml:space="preserve">Phân tán, index, phân quyền, script test xong</t>
  </si>
  <si>
    <t xml:space="preserve">TV4, TV5</t>
  </si>
  <si>
    <t xml:space="preserve">Cuộc gọi 2 (45')</t>
  </si>
  <si>
    <t xml:space="preserve">Build từ DB trống không lỗi; các phần báo cáo riêng xong</t>
  </si>
  <si>
    <t xml:space="preserve">Nộp</t>
  </si>
  <si>
    <t xml:space="preserve">TV1 nộp báo cáo tổng (mục tiêu)</t>
  </si>
  <si>
    <t xml:space="preserve">Hạn chót</t>
  </si>
  <si>
    <t xml:space="preserve">Hạn nộp của giảng viên (23h59)</t>
  </si>
  <si>
    <t xml:space="preserve">Cuộc gọi 3 (60')</t>
  </si>
  <si>
    <t xml:space="preserve">Tập demo đổi vai trước ngày thi</t>
  </si>
  <si>
    <t xml:space="preserve">Quy ước chung và đối chiếu cú pháp</t>
  </si>
  <si>
    <t xml:space="preserve">Slide chương 6 viết bằng SQL Server; nhóm cài trên MariaDB.</t>
  </si>
  <si>
    <t xml:space="preserve">Nhóm</t>
  </si>
  <si>
    <t xml:space="preserve">Mục</t>
  </si>
  <si>
    <t xml:space="preserve">Quy ước</t>
  </si>
  <si>
    <t xml:space="preserve">Đặt tên</t>
  </si>
  <si>
    <t xml:space="preserve">CHỮ_HOA_KHÔNG_DẤU: CUON_SACH</t>
  </si>
  <si>
    <t xml:space="preserve">Cột</t>
  </si>
  <si>
    <t xml:space="preserve">PascalCase không dấu: MaCuonSach, HanTra</t>
  </si>
  <si>
    <t xml:space="preserve">Ràng buộc</t>
  </si>
  <si>
    <t xml:space="preserve">PK_&lt;Bang&gt;, FK_&lt;Bang&gt;_&lt;BangThamChieu&gt;, CK_&lt;Bang&gt;_&lt;Y&gt;, UQ_&lt;Bang&gt;_&lt;Cot&gt; — luôn đặt tên</t>
  </si>
  <si>
    <t xml:space="preserve">Trigger / procedure / function / view</t>
  </si>
  <si>
    <t xml:space="preserve">trg_&lt;Bang&gt;_&lt;Viec&gt;, sp_&lt;DoiTuong&gt;_&lt;Viec&gt;, fn_&lt;Viec&gt;, v_&lt;BaoCao&gt;</t>
  </si>
  <si>
    <t xml:space="preserve">Tham số / biến</t>
  </si>
  <si>
    <t xml:space="preserve">p_&lt;Ten&gt; cho tham số, v_&lt;Ten&gt; cho biến cục bộ</t>
  </si>
  <si>
    <t xml:space="preserve">Lỗi</t>
  </si>
  <si>
    <t xml:space="preserve">SIGNAL SQLSTATE '45000' SET MESSAGE_TEXT = 'E101: Mỗi lần mượn tối đa 10 cuốn'. E1xx mượn trả, E2xx phòng, E3xx kho, E4xx độc giả</t>
  </si>
  <si>
    <t xml:space="preserve">Cú pháp</t>
  </si>
  <si>
    <t xml:space="preserve">inserted / deleted</t>
  </si>
  <si>
    <t xml:space="preserve">NEW / OLD trong trigger FOR EACH ROW</t>
  </si>
  <si>
    <t xml:space="preserve">INSTEAD OF, ROLLBACK TRANSACTION trong trigger</t>
  </si>
  <si>
    <t xml:space="preserve">Trigger BEFORE + SIGNAL SQLSTATE '45000'</t>
  </si>
  <si>
    <t xml:space="preserve">IF UPDATE(cot)</t>
  </si>
  <si>
    <t xml:space="preserve">IF NEW.cot &lt;&gt; OLD.cot THEN … END IF</t>
  </si>
  <si>
    <t xml:space="preserve">BEGIN TRAN … COMMIT</t>
  </si>
  <si>
    <t xml:space="preserve">START TRANSACTION … COMMIT + DECLARE EXIT HANDLER FOR SQLEXCEPTION BEGIN ROLLBACK; RESIGNAL; END</t>
  </si>
  <si>
    <t xml:space="preserve">@bien, PRINT, THROW</t>
  </si>
  <si>
    <t xml:space="preserve">DECLARE v_bien, tham số p_, SIGNAL</t>
  </si>
  <si>
    <t xml:space="preserve">Function trả về bảng</t>
  </si>
  <si>
    <t xml:space="preserve">Procedure có tham số trả về SELECT</t>
  </si>
  <si>
    <t xml:space="preserve">DENY</t>
  </si>
  <si>
    <t xml:space="preserve">Không có: chỉ GRANT quyền tối thiểu</t>
  </si>
  <si>
    <t xml:space="preserve">Tham số bảng (TYPE AS TABLE)</t>
  </si>
  <si>
    <t xml:space="preserve">Chuỗi JSON + JSON_TABLE</t>
  </si>
  <si>
    <t xml:space="preserve">WITH (UPDLOCK, HOLDLOCK)</t>
  </si>
  <si>
    <t xml:space="preserve">SELECT … FOR UPDATE</t>
  </si>
  <si>
    <t xml:space="preserve">Lưu ý</t>
  </si>
  <si>
    <t xml:space="preserve">Lỗi 1442</t>
  </si>
  <si>
    <t xml:space="preserve">Trigger không được sửa chính bảng đã kích hoạt nó: đổi dòng đang ghi dùng BEFORE + SET NEW.cot; đổi bảng khác dùng AFTER</t>
  </si>
  <si>
    <t xml:space="preserve">Nhiều trigger cùng sự kiện</t>
  </si>
  <si>
    <t xml:space="preserve">Dùng FOLLOWS / PRECEDES để định thứ tự (vd TRG5 FOLLOWS TRG4)</t>
  </si>
  <si>
    <t xml:space="preserve">DELIMITER</t>
  </si>
  <si>
    <t xml:space="preserve">File có trigger/procedure bắt đầu bằng DELIMITER // và kết thúc DELIMITER ;</t>
  </si>
  <si>
    <t xml:space="preserve">Phối hợp</t>
  </si>
  <si>
    <t xml:space="preserve">Sở hữu file</t>
  </si>
  <si>
    <t xml:space="preserve">Mỗi file 1 chủ; cần sửa file người khác thì nhắn người đó</t>
  </si>
  <si>
    <t xml:space="preserve">Đổi schema</t>
  </si>
  <si>
    <t xml:space="preserve">Nhắn [SCHEMA] + lý do + ảnh hưởng → người liên quan phản hồi trong ngày → TV1 sửa 00_schema.sql, tăng phiên bản, ghi CHANGELOG → mọi người pull và chạy lại build_all.sql</t>
  </si>
  <si>
    <t xml:space="preserve">Báo tiến độ</t>
  </si>
  <si>
    <t xml:space="preserve">Tối thứ Ba và thứ Sáu: 3 dòng Đã xong / Sắp làm / Đang kẹt; cập nhật cột Trạng thái trong file này</t>
  </si>
  <si>
    <t xml:space="preserve">Định nghĩa 'xong'</t>
  </si>
  <si>
    <t xml:space="preserve">Chạy được trong build_all.sql trên DB trống; có 1 ca hợp lệ + 1 ca bị chặn; có ảnh minh chứng trong file báo cáo; người review đã OK</t>
  </si>
  <si>
    <t xml:space="preserve">Thư mục</t>
  </si>
  <si>
    <t xml:space="preserve">db/</t>
  </si>
  <si>
    <t xml:space="preserve">00_schema.sql, 10_tv1_kho.sql … 40_tv4_phong.sql, 50_tv5_baocao.sql, 60_tv5_baomat.sql, triggers/, tx/, seed/, tests/, build_all.sql</t>
  </si>
  <si>
    <t xml:space="preserve">erd/, phan_tan/, app/, baocao/, docs/</t>
  </si>
  <si>
    <t xml:space="preserve">Phân công viết báo cáo (1 file Word/PDF duy nhất)</t>
  </si>
  <si>
    <t xml:space="preserve">Mỗi người viết file riêng theo style Heading 1–3 của file mẫu TV1; TV1 ghép.</t>
  </si>
  <si>
    <t xml:space="preserve">Người viết</t>
  </si>
  <si>
    <t xml:space="preserve">1</t>
  </si>
  <si>
    <t xml:space="preserve">Phân tích yêu cầu dữ liệu và ứng dụng</t>
  </si>
  <si>
    <t xml:space="preserve">TV2–TV4 gửi mỗi người 1 đoạn về mảng mình</t>
  </si>
  <si>
    <t xml:space="preserve">2</t>
  </si>
  <si>
    <t xml:space="preserve">Lược đồ E-R và mô tả</t>
  </si>
  <si>
    <t xml:space="preserve">TV1 (ERD tổng) + mỗi người mô tả thực thể của mình</t>
  </si>
  <si>
    <t xml:space="preserve">3</t>
  </si>
  <si>
    <t xml:space="preserve">Lược đồ quan hệ, PTH, khóa, BCNF</t>
  </si>
  <si>
    <t xml:space="preserve">TV1–TV4 (bảng của mình)</t>
  </si>
  <si>
    <t xml:space="preserve">4</t>
  </si>
  <si>
    <t xml:space="preserve">Cài đặt, dữ liệu, ràng buộc, giao diện</t>
  </si>
  <si>
    <t xml:space="preserve">Cả 5 người (mảng mình)</t>
  </si>
  <si>
    <t xml:space="preserve">TV3: ràng buộc số lượng bản ghi; TV5: truy vấn, tối ưu, bảo mật, giao diện; TV2: minh chứng dữ liệu</t>
  </si>
  <si>
    <t xml:space="preserve">5</t>
  </si>
  <si>
    <t xml:space="preserve">Thiết kế CSDL phân tán</t>
  </si>
  <si>
    <t xml:space="preserve">Ghép, mục lục, kiểm tra định dạng, nộp</t>
  </si>
  <si>
    <t xml:space="preserve">Nộp trước 20/11 (hạn 22/11)</t>
  </si>
  <si>
    <t xml:space="preserve">Thành viên nhóm</t>
  </si>
  <si>
    <t xml:space="preserve">Nhập họ tên thật vào ô vàng; các sheet khác tự lấy tên từ đây.</t>
  </si>
  <si>
    <t xml:space="preserve">Mảng phụ trách</t>
  </si>
  <si>
    <t xml:space="preserve">Người review mình</t>
  </si>
  <si>
    <t xml:space="preserve">Liên lạc (Zalo/email)</t>
  </si>
  <si>
    <t xml:space="preserve">Kho sách + trưởng nhóm (đại diện liên hệ GV)</t>
  </si>
  <si>
    <t xml:space="preserve">Con người, chi nhánh, dữ liệu 3 tháng</t>
  </si>
  <si>
    <t xml:space="preserve">Truy vấn, tối ưu, bảo mật, kiểm thử, giao diện tối giản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</si>
</sst>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BC2E6"/>
        <bgColor rgb="FFBFBFBF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BC2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5" min="11" style="0" width="5"/>
    <col collapsed="false" customWidth="true" hidden="false" outlineLevel="0" max="16" min="16" style="0" width="14"/>
    <col collapsed="false" customWidth="true" hidden="false" outlineLevel="0" max="17" min="17" style="0" width="2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23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" hidden="false" customHeight="false" outlineLevel="0" collapsed="false">
      <c r="A6" s="6" t="s">
        <v>10</v>
      </c>
      <c r="B6" s="6" t="str">
        <f aca="false">IFERROR(INDEX('Thành viên'!$B$4:$B$8,MATCH(A6,'Thành viên'!$A$4:$A$8,0))&amp;"","")</f>
        <v/>
      </c>
      <c r="C6" s="7" t="s">
        <v>11</v>
      </c>
      <c r="D6" s="6" t="n">
        <f aca="false">COUNTIF($K$14:$K$53,"C")</f>
        <v>14</v>
      </c>
      <c r="E6" s="6" t="n">
        <f aca="false">COUNTIFS($K$14:$K$53,"C",$P$14:$P$53,"Hoàn thành")</f>
        <v>0</v>
      </c>
      <c r="F6" s="8" t="n">
        <f aca="false">IF(D6=0,0,E6/D6)</f>
        <v>0</v>
      </c>
      <c r="G6" s="6" t="n">
        <f aca="false">COUNTIF($K$14:$K$53,"R")</f>
        <v>10</v>
      </c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6" t="s">
        <v>12</v>
      </c>
      <c r="B7" s="6" t="str">
        <f aca="false">IFERROR(INDEX('Thành viên'!$B$4:$B$8,MATCH(A7,'Thành viên'!$A$4:$A$8,0))&amp;"","")</f>
        <v/>
      </c>
      <c r="C7" s="7" t="s">
        <v>13</v>
      </c>
      <c r="D7" s="6" t="n">
        <f aca="false">COUNTIF($L$14:$L$53,"C")</f>
        <v>11</v>
      </c>
      <c r="E7" s="6" t="n">
        <f aca="false">COUNTIFS($L$14:$L$53,"C",$P$14:$P$53,"Hoàn thành")</f>
        <v>0</v>
      </c>
      <c r="F7" s="8" t="n">
        <f aca="false">IF(D7=0,0,E7/D7)</f>
        <v>0</v>
      </c>
      <c r="G7" s="6" t="n">
        <f aca="false">COUNTIF($L$14:$L$53,"R")</f>
        <v>8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6" t="s">
        <v>14</v>
      </c>
      <c r="B8" s="6" t="str">
        <f aca="false">IFERROR(INDEX('Thành viên'!$B$4:$B$8,MATCH(A8,'Thành viên'!$A$4:$A$8,0))&amp;"","")</f>
        <v/>
      </c>
      <c r="C8" s="7" t="s">
        <v>15</v>
      </c>
      <c r="D8" s="6" t="n">
        <f aca="false">COUNTIF($M$14:$M$53,"C")</f>
        <v>13</v>
      </c>
      <c r="E8" s="6" t="n">
        <f aca="false">COUNTIFS($M$14:$M$53,"C",$P$14:$P$53,"Hoàn thành")</f>
        <v>0</v>
      </c>
      <c r="F8" s="8" t="n">
        <f aca="false">IF(D8=0,0,E8/D8)</f>
        <v>0</v>
      </c>
      <c r="G8" s="6" t="n">
        <f aca="false">COUNTIF($M$14:$M$53,"R")</f>
        <v>5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5" hidden="false" customHeight="false" outlineLevel="0" collapsed="false">
      <c r="A9" s="6" t="s">
        <v>16</v>
      </c>
      <c r="B9" s="6" t="str">
        <f aca="false">IFERROR(INDEX('Thành viên'!$B$4:$B$8,MATCH(A9,'Thành viên'!$A$4:$A$8,0))&amp;"","")</f>
        <v/>
      </c>
      <c r="C9" s="7" t="s">
        <v>17</v>
      </c>
      <c r="D9" s="6" t="n">
        <f aca="false">COUNTIF($N$14:$N$53,"C")</f>
        <v>15</v>
      </c>
      <c r="E9" s="6" t="n">
        <f aca="false">COUNTIFS($N$14:$N$53,"C",$P$14:$P$53,"Hoàn thành")</f>
        <v>0</v>
      </c>
      <c r="F9" s="8" t="n">
        <f aca="false">IF(D9=0,0,E9/D9)</f>
        <v>0</v>
      </c>
      <c r="G9" s="6" t="n">
        <f aca="false">COUNTIF($N$14:$N$53,"R")</f>
        <v>4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5" hidden="false" customHeight="false" outlineLevel="0" collapsed="false">
      <c r="A10" s="6" t="s">
        <v>18</v>
      </c>
      <c r="B10" s="6" t="str">
        <f aca="false">IFERROR(INDEX('Thành viên'!$B$4:$B$8,MATCH(A10,'Thành viên'!$A$4:$A$8,0))&amp;"","")</f>
        <v/>
      </c>
      <c r="C10" s="7" t="s">
        <v>19</v>
      </c>
      <c r="D10" s="6" t="n">
        <f aca="false">COUNTIF($O$14:$O$53,"C")</f>
        <v>14</v>
      </c>
      <c r="E10" s="6" t="n">
        <f aca="false">COUNTIFS($O$14:$O$53,"C",$P$14:$P$53,"Hoàn thành")</f>
        <v>0</v>
      </c>
      <c r="F10" s="8" t="n">
        <f aca="false">IF(D10=0,0,E10/D10)</f>
        <v>0</v>
      </c>
      <c r="G10" s="6" t="n">
        <f aca="false">COUNTIF($O$14:$O$53,"R")</f>
        <v>10</v>
      </c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5" hidden="false" customHeight="false" outlineLevel="0" collapsed="false">
      <c r="A11" s="4" t="s">
        <v>20</v>
      </c>
      <c r="B11" s="2"/>
      <c r="C11" s="9" t="s">
        <v>21</v>
      </c>
      <c r="D11" s="4" t="n">
        <f aca="false">COUNTA(A14:A53)</f>
        <v>40</v>
      </c>
      <c r="E11" s="4" t="n">
        <f aca="false">COUNTIF(P14:P53,"Hoàn thành")</f>
        <v>0</v>
      </c>
      <c r="F11" s="10" t="n">
        <f aca="false">IF(D11=0,0,E11/D11)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5" hidden="false" customHeight="false" outlineLevel="0" collapsed="false">
      <c r="A13" s="5" t="s">
        <v>22</v>
      </c>
      <c r="B13" s="5" t="s">
        <v>23</v>
      </c>
      <c r="C13" s="5" t="s">
        <v>24</v>
      </c>
      <c r="D13" s="5" t="s">
        <v>25</v>
      </c>
      <c r="E13" s="5" t="s">
        <v>26</v>
      </c>
      <c r="F13" s="5" t="s">
        <v>27</v>
      </c>
      <c r="G13" s="5" t="s">
        <v>28</v>
      </c>
      <c r="H13" s="5" t="s">
        <v>29</v>
      </c>
      <c r="I13" s="5" t="s">
        <v>30</v>
      </c>
      <c r="J13" s="5" t="s">
        <v>31</v>
      </c>
      <c r="K13" s="5" t="s">
        <v>10</v>
      </c>
      <c r="L13" s="5" t="s">
        <v>12</v>
      </c>
      <c r="M13" s="5" t="s">
        <v>14</v>
      </c>
      <c r="N13" s="5" t="s">
        <v>16</v>
      </c>
      <c r="O13" s="5" t="s">
        <v>18</v>
      </c>
      <c r="P13" s="5" t="s">
        <v>32</v>
      </c>
      <c r="Q13" s="5" t="s">
        <v>33</v>
      </c>
    </row>
    <row r="14" customFormat="false" ht="23.85" hidden="false" customHeight="false" outlineLevel="0" collapsed="false">
      <c r="A14" s="6" t="s">
        <v>34</v>
      </c>
      <c r="B14" s="7" t="s">
        <v>35</v>
      </c>
      <c r="C14" s="7" t="s">
        <v>36</v>
      </c>
      <c r="D14" s="6" t="s">
        <v>10</v>
      </c>
      <c r="E14" s="6" t="s">
        <v>37</v>
      </c>
      <c r="F14" s="11" t="n">
        <v>46308</v>
      </c>
      <c r="G14" s="11" t="n">
        <v>46310</v>
      </c>
      <c r="H14" s="7" t="s">
        <v>38</v>
      </c>
      <c r="I14" s="7" t="s">
        <v>39</v>
      </c>
      <c r="J14" s="7" t="s">
        <v>40</v>
      </c>
      <c r="K14" s="12" t="s">
        <v>41</v>
      </c>
      <c r="L14" s="6" t="s">
        <v>42</v>
      </c>
      <c r="M14" s="6" t="s">
        <v>42</v>
      </c>
      <c r="N14" s="6" t="s">
        <v>42</v>
      </c>
      <c r="O14" s="6" t="s">
        <v>42</v>
      </c>
      <c r="P14" s="13" t="s">
        <v>43</v>
      </c>
      <c r="Q14" s="13"/>
    </row>
    <row r="15" customFormat="false" ht="23.85" hidden="false" customHeight="false" outlineLevel="0" collapsed="false">
      <c r="A15" s="6" t="s">
        <v>44</v>
      </c>
      <c r="B15" s="7" t="s">
        <v>35</v>
      </c>
      <c r="C15" s="7" t="s">
        <v>45</v>
      </c>
      <c r="D15" s="6" t="s">
        <v>37</v>
      </c>
      <c r="E15" s="6" t="s">
        <v>10</v>
      </c>
      <c r="F15" s="11" t="n">
        <v>46310</v>
      </c>
      <c r="G15" s="11" t="n">
        <v>46313</v>
      </c>
      <c r="H15" s="7" t="s">
        <v>46</v>
      </c>
      <c r="I15" s="7" t="s">
        <v>40</v>
      </c>
      <c r="J15" s="7" t="s">
        <v>34</v>
      </c>
      <c r="K15" s="14" t="s">
        <v>47</v>
      </c>
      <c r="L15" s="12" t="s">
        <v>41</v>
      </c>
      <c r="M15" s="12" t="s">
        <v>41</v>
      </c>
      <c r="N15" s="12" t="s">
        <v>41</v>
      </c>
      <c r="O15" s="12" t="s">
        <v>41</v>
      </c>
      <c r="P15" s="13" t="s">
        <v>43</v>
      </c>
      <c r="Q15" s="13"/>
    </row>
    <row r="16" customFormat="false" ht="23.85" hidden="false" customHeight="false" outlineLevel="0" collapsed="false">
      <c r="A16" s="6" t="s">
        <v>48</v>
      </c>
      <c r="B16" s="7" t="s">
        <v>35</v>
      </c>
      <c r="C16" s="7" t="s">
        <v>49</v>
      </c>
      <c r="D16" s="6" t="s">
        <v>18</v>
      </c>
      <c r="E16" s="6" t="s">
        <v>10</v>
      </c>
      <c r="F16" s="11" t="n">
        <v>46308</v>
      </c>
      <c r="G16" s="11" t="n">
        <v>46314</v>
      </c>
      <c r="H16" s="7" t="s">
        <v>50</v>
      </c>
      <c r="I16" s="7" t="s">
        <v>51</v>
      </c>
      <c r="J16" s="7" t="s">
        <v>40</v>
      </c>
      <c r="K16" s="14" t="s">
        <v>47</v>
      </c>
      <c r="L16" s="6" t="s">
        <v>42</v>
      </c>
      <c r="M16" s="6" t="s">
        <v>42</v>
      </c>
      <c r="N16" s="6" t="s">
        <v>42</v>
      </c>
      <c r="O16" s="12" t="s">
        <v>41</v>
      </c>
      <c r="P16" s="13" t="s">
        <v>43</v>
      </c>
      <c r="Q16" s="13"/>
    </row>
    <row r="17" customFormat="false" ht="23.85" hidden="false" customHeight="false" outlineLevel="0" collapsed="false">
      <c r="A17" s="6" t="s">
        <v>52</v>
      </c>
      <c r="B17" s="7" t="s">
        <v>35</v>
      </c>
      <c r="C17" s="7" t="s">
        <v>53</v>
      </c>
      <c r="D17" s="6" t="s">
        <v>37</v>
      </c>
      <c r="E17" s="6" t="s">
        <v>40</v>
      </c>
      <c r="F17" s="11" t="n">
        <v>46314</v>
      </c>
      <c r="G17" s="11" t="n">
        <v>46314</v>
      </c>
      <c r="H17" s="7" t="s">
        <v>54</v>
      </c>
      <c r="I17" s="7" t="s">
        <v>40</v>
      </c>
      <c r="J17" s="7" t="s">
        <v>55</v>
      </c>
      <c r="K17" s="12" t="s">
        <v>41</v>
      </c>
      <c r="L17" s="12" t="s">
        <v>41</v>
      </c>
      <c r="M17" s="12" t="s">
        <v>41</v>
      </c>
      <c r="N17" s="12" t="s">
        <v>41</v>
      </c>
      <c r="O17" s="12" t="s">
        <v>41</v>
      </c>
      <c r="P17" s="13" t="s">
        <v>43</v>
      </c>
      <c r="Q17" s="13"/>
    </row>
    <row r="18" customFormat="false" ht="23.85" hidden="false" customHeight="false" outlineLevel="0" collapsed="false">
      <c r="A18" s="6" t="s">
        <v>56</v>
      </c>
      <c r="B18" s="7" t="s">
        <v>57</v>
      </c>
      <c r="C18" s="7" t="s">
        <v>58</v>
      </c>
      <c r="D18" s="6" t="s">
        <v>10</v>
      </c>
      <c r="E18" s="6" t="s">
        <v>14</v>
      </c>
      <c r="F18" s="11" t="n">
        <v>46310</v>
      </c>
      <c r="G18" s="11" t="n">
        <v>46321</v>
      </c>
      <c r="H18" s="7" t="s">
        <v>59</v>
      </c>
      <c r="I18" s="7" t="s">
        <v>60</v>
      </c>
      <c r="J18" s="7" t="s">
        <v>34</v>
      </c>
      <c r="K18" s="12" t="s">
        <v>41</v>
      </c>
      <c r="L18" s="6"/>
      <c r="M18" s="14" t="s">
        <v>47</v>
      </c>
      <c r="N18" s="6"/>
      <c r="O18" s="6"/>
      <c r="P18" s="13" t="s">
        <v>43</v>
      </c>
      <c r="Q18" s="13"/>
    </row>
    <row r="19" customFormat="false" ht="23.85" hidden="false" customHeight="false" outlineLevel="0" collapsed="false">
      <c r="A19" s="6" t="s">
        <v>61</v>
      </c>
      <c r="B19" s="7" t="s">
        <v>57</v>
      </c>
      <c r="C19" s="7" t="s">
        <v>62</v>
      </c>
      <c r="D19" s="6" t="s">
        <v>12</v>
      </c>
      <c r="E19" s="6" t="s">
        <v>16</v>
      </c>
      <c r="F19" s="11" t="n">
        <v>46310</v>
      </c>
      <c r="G19" s="11" t="n">
        <v>46321</v>
      </c>
      <c r="H19" s="7" t="s">
        <v>63</v>
      </c>
      <c r="I19" s="7" t="s">
        <v>60</v>
      </c>
      <c r="J19" s="7" t="s">
        <v>34</v>
      </c>
      <c r="K19" s="6"/>
      <c r="L19" s="12" t="s">
        <v>41</v>
      </c>
      <c r="M19" s="6"/>
      <c r="N19" s="14" t="s">
        <v>47</v>
      </c>
      <c r="O19" s="6"/>
      <c r="P19" s="13" t="s">
        <v>43</v>
      </c>
      <c r="Q19" s="13"/>
    </row>
    <row r="20" customFormat="false" ht="23.85" hidden="false" customHeight="false" outlineLevel="0" collapsed="false">
      <c r="A20" s="6" t="s">
        <v>64</v>
      </c>
      <c r="B20" s="7" t="s">
        <v>57</v>
      </c>
      <c r="C20" s="7" t="s">
        <v>65</v>
      </c>
      <c r="D20" s="6" t="s">
        <v>14</v>
      </c>
      <c r="E20" s="6" t="s">
        <v>10</v>
      </c>
      <c r="F20" s="11" t="n">
        <v>46310</v>
      </c>
      <c r="G20" s="11" t="n">
        <v>46321</v>
      </c>
      <c r="H20" s="7" t="s">
        <v>66</v>
      </c>
      <c r="I20" s="7" t="s">
        <v>60</v>
      </c>
      <c r="J20" s="7" t="s">
        <v>34</v>
      </c>
      <c r="K20" s="14" t="s">
        <v>47</v>
      </c>
      <c r="L20" s="6"/>
      <c r="M20" s="12" t="s">
        <v>41</v>
      </c>
      <c r="N20" s="6"/>
      <c r="O20" s="6"/>
      <c r="P20" s="13" t="s">
        <v>43</v>
      </c>
      <c r="Q20" s="13"/>
    </row>
    <row r="21" customFormat="false" ht="23.85" hidden="false" customHeight="false" outlineLevel="0" collapsed="false">
      <c r="A21" s="6" t="s">
        <v>67</v>
      </c>
      <c r="B21" s="7" t="s">
        <v>57</v>
      </c>
      <c r="C21" s="7" t="s">
        <v>68</v>
      </c>
      <c r="D21" s="6" t="s">
        <v>16</v>
      </c>
      <c r="E21" s="6" t="s">
        <v>18</v>
      </c>
      <c r="F21" s="11" t="n">
        <v>46310</v>
      </c>
      <c r="G21" s="11" t="n">
        <v>46321</v>
      </c>
      <c r="H21" s="7" t="s">
        <v>69</v>
      </c>
      <c r="I21" s="7" t="s">
        <v>60</v>
      </c>
      <c r="J21" s="7" t="s">
        <v>34</v>
      </c>
      <c r="K21" s="6"/>
      <c r="L21" s="6"/>
      <c r="M21" s="6"/>
      <c r="N21" s="12" t="s">
        <v>41</v>
      </c>
      <c r="O21" s="14" t="s">
        <v>47</v>
      </c>
      <c r="P21" s="13" t="s">
        <v>43</v>
      </c>
      <c r="Q21" s="13"/>
    </row>
    <row r="22" customFormat="false" ht="23.85" hidden="false" customHeight="false" outlineLevel="0" collapsed="false">
      <c r="A22" s="6" t="s">
        <v>70</v>
      </c>
      <c r="B22" s="7" t="s">
        <v>57</v>
      </c>
      <c r="C22" s="7" t="s">
        <v>71</v>
      </c>
      <c r="D22" s="6" t="s">
        <v>10</v>
      </c>
      <c r="E22" s="6" t="s">
        <v>37</v>
      </c>
      <c r="F22" s="11" t="n">
        <v>46315</v>
      </c>
      <c r="G22" s="11" t="n">
        <v>46321</v>
      </c>
      <c r="H22" s="7" t="s">
        <v>72</v>
      </c>
      <c r="I22" s="7" t="s">
        <v>73</v>
      </c>
      <c r="J22" s="7" t="s">
        <v>74</v>
      </c>
      <c r="K22" s="12" t="s">
        <v>41</v>
      </c>
      <c r="L22" s="14" t="s">
        <v>47</v>
      </c>
      <c r="M22" s="14" t="s">
        <v>47</v>
      </c>
      <c r="N22" s="14" t="s">
        <v>47</v>
      </c>
      <c r="O22" s="14" t="s">
        <v>47</v>
      </c>
      <c r="P22" s="13" t="s">
        <v>43</v>
      </c>
      <c r="Q22" s="13"/>
    </row>
    <row r="23" customFormat="false" ht="23.85" hidden="false" customHeight="false" outlineLevel="0" collapsed="false">
      <c r="A23" s="6" t="s">
        <v>75</v>
      </c>
      <c r="B23" s="7" t="s">
        <v>76</v>
      </c>
      <c r="C23" s="7" t="s">
        <v>77</v>
      </c>
      <c r="D23" s="6" t="s">
        <v>10</v>
      </c>
      <c r="E23" s="6" t="s">
        <v>14</v>
      </c>
      <c r="F23" s="11" t="n">
        <v>46315</v>
      </c>
      <c r="G23" s="11" t="n">
        <v>46325</v>
      </c>
      <c r="H23" s="7" t="s">
        <v>78</v>
      </c>
      <c r="I23" s="7" t="s">
        <v>79</v>
      </c>
      <c r="J23" s="7" t="s">
        <v>52</v>
      </c>
      <c r="K23" s="12" t="s">
        <v>41</v>
      </c>
      <c r="L23" s="6"/>
      <c r="M23" s="14" t="s">
        <v>47</v>
      </c>
      <c r="N23" s="6"/>
      <c r="O23" s="6"/>
      <c r="P23" s="13" t="s">
        <v>43</v>
      </c>
      <c r="Q23" s="13"/>
    </row>
    <row r="24" customFormat="false" ht="23.85" hidden="false" customHeight="false" outlineLevel="0" collapsed="false">
      <c r="A24" s="6" t="s">
        <v>80</v>
      </c>
      <c r="B24" s="7" t="s">
        <v>76</v>
      </c>
      <c r="C24" s="7" t="s">
        <v>81</v>
      </c>
      <c r="D24" s="6" t="s">
        <v>12</v>
      </c>
      <c r="E24" s="6" t="s">
        <v>16</v>
      </c>
      <c r="F24" s="11" t="n">
        <v>46315</v>
      </c>
      <c r="G24" s="11" t="n">
        <v>46325</v>
      </c>
      <c r="H24" s="7" t="s">
        <v>82</v>
      </c>
      <c r="I24" s="7" t="s">
        <v>79</v>
      </c>
      <c r="J24" s="7" t="s">
        <v>52</v>
      </c>
      <c r="K24" s="6"/>
      <c r="L24" s="12" t="s">
        <v>41</v>
      </c>
      <c r="M24" s="6"/>
      <c r="N24" s="14" t="s">
        <v>47</v>
      </c>
      <c r="O24" s="6"/>
      <c r="P24" s="13" t="s">
        <v>43</v>
      </c>
      <c r="Q24" s="13"/>
    </row>
    <row r="25" customFormat="false" ht="23.85" hidden="false" customHeight="false" outlineLevel="0" collapsed="false">
      <c r="A25" s="6" t="s">
        <v>83</v>
      </c>
      <c r="B25" s="7" t="s">
        <v>76</v>
      </c>
      <c r="C25" s="7" t="s">
        <v>84</v>
      </c>
      <c r="D25" s="6" t="s">
        <v>14</v>
      </c>
      <c r="E25" s="6" t="s">
        <v>10</v>
      </c>
      <c r="F25" s="11" t="n">
        <v>46315</v>
      </c>
      <c r="G25" s="11" t="n">
        <v>46325</v>
      </c>
      <c r="H25" s="7" t="s">
        <v>85</v>
      </c>
      <c r="I25" s="7" t="s">
        <v>86</v>
      </c>
      <c r="J25" s="7" t="s">
        <v>52</v>
      </c>
      <c r="K25" s="14" t="s">
        <v>47</v>
      </c>
      <c r="L25" s="6"/>
      <c r="M25" s="12" t="s">
        <v>41</v>
      </c>
      <c r="N25" s="6"/>
      <c r="O25" s="6"/>
      <c r="P25" s="13" t="s">
        <v>43</v>
      </c>
      <c r="Q25" s="13"/>
    </row>
    <row r="26" customFormat="false" ht="23.85" hidden="false" customHeight="false" outlineLevel="0" collapsed="false">
      <c r="A26" s="6" t="s">
        <v>87</v>
      </c>
      <c r="B26" s="7" t="s">
        <v>76</v>
      </c>
      <c r="C26" s="7" t="s">
        <v>88</v>
      </c>
      <c r="D26" s="6" t="s">
        <v>16</v>
      </c>
      <c r="E26" s="6" t="s">
        <v>18</v>
      </c>
      <c r="F26" s="11" t="n">
        <v>46315</v>
      </c>
      <c r="G26" s="11" t="n">
        <v>46325</v>
      </c>
      <c r="H26" s="7" t="s">
        <v>89</v>
      </c>
      <c r="I26" s="7" t="s">
        <v>79</v>
      </c>
      <c r="J26" s="7" t="s">
        <v>52</v>
      </c>
      <c r="K26" s="6"/>
      <c r="L26" s="6"/>
      <c r="M26" s="6"/>
      <c r="N26" s="12" t="s">
        <v>41</v>
      </c>
      <c r="O26" s="14" t="s">
        <v>47</v>
      </c>
      <c r="P26" s="13" t="s">
        <v>43</v>
      </c>
      <c r="Q26" s="13"/>
    </row>
    <row r="27" customFormat="false" ht="23.85" hidden="false" customHeight="false" outlineLevel="0" collapsed="false">
      <c r="A27" s="6" t="s">
        <v>90</v>
      </c>
      <c r="B27" s="7" t="s">
        <v>76</v>
      </c>
      <c r="C27" s="7" t="s">
        <v>91</v>
      </c>
      <c r="D27" s="6" t="s">
        <v>10</v>
      </c>
      <c r="E27" s="6" t="s">
        <v>18</v>
      </c>
      <c r="F27" s="11" t="n">
        <v>46326</v>
      </c>
      <c r="G27" s="11" t="n">
        <v>46335</v>
      </c>
      <c r="H27" s="7" t="s">
        <v>92</v>
      </c>
      <c r="I27" s="7" t="s">
        <v>93</v>
      </c>
      <c r="J27" s="7" t="s">
        <v>94</v>
      </c>
      <c r="K27" s="12" t="s">
        <v>41</v>
      </c>
      <c r="L27" s="6"/>
      <c r="M27" s="6"/>
      <c r="N27" s="6"/>
      <c r="O27" s="14" t="s">
        <v>47</v>
      </c>
      <c r="P27" s="13" t="s">
        <v>43</v>
      </c>
      <c r="Q27" s="13"/>
    </row>
    <row r="28" customFormat="false" ht="23.85" hidden="false" customHeight="false" outlineLevel="0" collapsed="false">
      <c r="A28" s="6" t="s">
        <v>95</v>
      </c>
      <c r="B28" s="7" t="s">
        <v>76</v>
      </c>
      <c r="C28" s="7" t="s">
        <v>96</v>
      </c>
      <c r="D28" s="6" t="s">
        <v>10</v>
      </c>
      <c r="E28" s="6" t="s">
        <v>18</v>
      </c>
      <c r="F28" s="11" t="n">
        <v>46326</v>
      </c>
      <c r="G28" s="11" t="n">
        <v>46335</v>
      </c>
      <c r="H28" s="7" t="s">
        <v>97</v>
      </c>
      <c r="I28" s="7" t="s">
        <v>98</v>
      </c>
      <c r="J28" s="7" t="s">
        <v>75</v>
      </c>
      <c r="K28" s="12" t="s">
        <v>41</v>
      </c>
      <c r="L28" s="6"/>
      <c r="M28" s="6"/>
      <c r="N28" s="6"/>
      <c r="O28" s="14" t="s">
        <v>47</v>
      </c>
      <c r="P28" s="13" t="s">
        <v>43</v>
      </c>
      <c r="Q28" s="13"/>
    </row>
    <row r="29" customFormat="false" ht="15" hidden="false" customHeight="false" outlineLevel="0" collapsed="false">
      <c r="A29" s="6" t="s">
        <v>99</v>
      </c>
      <c r="B29" s="7" t="s">
        <v>76</v>
      </c>
      <c r="C29" s="7" t="s">
        <v>100</v>
      </c>
      <c r="D29" s="6" t="s">
        <v>12</v>
      </c>
      <c r="E29" s="6" t="s">
        <v>18</v>
      </c>
      <c r="F29" s="11" t="n">
        <v>46326</v>
      </c>
      <c r="G29" s="11" t="n">
        <v>46335</v>
      </c>
      <c r="H29" s="7" t="s">
        <v>101</v>
      </c>
      <c r="I29" s="7" t="s">
        <v>102</v>
      </c>
      <c r="J29" s="7" t="s">
        <v>80</v>
      </c>
      <c r="K29" s="6"/>
      <c r="L29" s="12" t="s">
        <v>41</v>
      </c>
      <c r="M29" s="6"/>
      <c r="N29" s="6"/>
      <c r="O29" s="14" t="s">
        <v>47</v>
      </c>
      <c r="P29" s="13" t="s">
        <v>43</v>
      </c>
      <c r="Q29" s="13"/>
    </row>
    <row r="30" customFormat="false" ht="23.85" hidden="false" customHeight="false" outlineLevel="0" collapsed="false">
      <c r="A30" s="6" t="s">
        <v>103</v>
      </c>
      <c r="B30" s="7" t="s">
        <v>76</v>
      </c>
      <c r="C30" s="7" t="s">
        <v>104</v>
      </c>
      <c r="D30" s="6" t="s">
        <v>14</v>
      </c>
      <c r="E30" s="6" t="s">
        <v>18</v>
      </c>
      <c r="F30" s="11" t="n">
        <v>46326</v>
      </c>
      <c r="G30" s="11" t="n">
        <v>46335</v>
      </c>
      <c r="H30" s="7" t="s">
        <v>105</v>
      </c>
      <c r="I30" s="7" t="s">
        <v>106</v>
      </c>
      <c r="J30" s="7" t="s">
        <v>83</v>
      </c>
      <c r="K30" s="6"/>
      <c r="L30" s="6"/>
      <c r="M30" s="12" t="s">
        <v>41</v>
      </c>
      <c r="N30" s="6"/>
      <c r="O30" s="14" t="s">
        <v>47</v>
      </c>
      <c r="P30" s="13" t="s">
        <v>43</v>
      </c>
      <c r="Q30" s="13"/>
    </row>
    <row r="31" customFormat="false" ht="23.85" hidden="false" customHeight="false" outlineLevel="0" collapsed="false">
      <c r="A31" s="6" t="s">
        <v>107</v>
      </c>
      <c r="B31" s="7" t="s">
        <v>76</v>
      </c>
      <c r="C31" s="7" t="s">
        <v>108</v>
      </c>
      <c r="D31" s="6" t="s">
        <v>14</v>
      </c>
      <c r="E31" s="6" t="s">
        <v>18</v>
      </c>
      <c r="F31" s="11" t="n">
        <v>46326</v>
      </c>
      <c r="G31" s="11" t="n">
        <v>46335</v>
      </c>
      <c r="H31" s="7" t="s">
        <v>109</v>
      </c>
      <c r="I31" s="7" t="s">
        <v>110</v>
      </c>
      <c r="J31" s="7" t="s">
        <v>111</v>
      </c>
      <c r="K31" s="6"/>
      <c r="L31" s="6"/>
      <c r="M31" s="12" t="s">
        <v>41</v>
      </c>
      <c r="N31" s="6"/>
      <c r="O31" s="14" t="s">
        <v>47</v>
      </c>
      <c r="P31" s="13" t="s">
        <v>43</v>
      </c>
      <c r="Q31" s="13"/>
    </row>
    <row r="32" customFormat="false" ht="15" hidden="false" customHeight="false" outlineLevel="0" collapsed="false">
      <c r="A32" s="6" t="s">
        <v>112</v>
      </c>
      <c r="B32" s="7" t="s">
        <v>76</v>
      </c>
      <c r="C32" s="7" t="s">
        <v>113</v>
      </c>
      <c r="D32" s="6" t="s">
        <v>16</v>
      </c>
      <c r="E32" s="6" t="s">
        <v>18</v>
      </c>
      <c r="F32" s="11" t="n">
        <v>46326</v>
      </c>
      <c r="G32" s="11" t="n">
        <v>46335</v>
      </c>
      <c r="H32" s="7" t="s">
        <v>114</v>
      </c>
      <c r="I32" s="7" t="s">
        <v>115</v>
      </c>
      <c r="J32" s="7" t="s">
        <v>87</v>
      </c>
      <c r="K32" s="6"/>
      <c r="L32" s="6"/>
      <c r="M32" s="6"/>
      <c r="N32" s="12" t="s">
        <v>41</v>
      </c>
      <c r="O32" s="14" t="s">
        <v>47</v>
      </c>
      <c r="P32" s="13" t="s">
        <v>43</v>
      </c>
      <c r="Q32" s="13"/>
    </row>
    <row r="33" customFormat="false" ht="23.85" hidden="false" customHeight="false" outlineLevel="0" collapsed="false">
      <c r="A33" s="6" t="s">
        <v>116</v>
      </c>
      <c r="B33" s="7" t="s">
        <v>76</v>
      </c>
      <c r="C33" s="7" t="s">
        <v>117</v>
      </c>
      <c r="D33" s="6" t="s">
        <v>18</v>
      </c>
      <c r="E33" s="6" t="s">
        <v>12</v>
      </c>
      <c r="F33" s="11" t="n">
        <v>46310</v>
      </c>
      <c r="G33" s="11" t="n">
        <v>46335</v>
      </c>
      <c r="H33" s="7" t="s">
        <v>118</v>
      </c>
      <c r="I33" s="7" t="s">
        <v>119</v>
      </c>
      <c r="J33" s="7" t="s">
        <v>52</v>
      </c>
      <c r="K33" s="6"/>
      <c r="L33" s="14" t="s">
        <v>47</v>
      </c>
      <c r="M33" s="6"/>
      <c r="N33" s="6"/>
      <c r="O33" s="12" t="s">
        <v>41</v>
      </c>
      <c r="P33" s="13" t="s">
        <v>43</v>
      </c>
      <c r="Q33" s="13"/>
    </row>
    <row r="34" customFormat="false" ht="23.85" hidden="false" customHeight="false" outlineLevel="0" collapsed="false">
      <c r="A34" s="6" t="s">
        <v>120</v>
      </c>
      <c r="B34" s="7" t="s">
        <v>76</v>
      </c>
      <c r="C34" s="7" t="s">
        <v>121</v>
      </c>
      <c r="D34" s="6" t="s">
        <v>18</v>
      </c>
      <c r="E34" s="6" t="s">
        <v>12</v>
      </c>
      <c r="F34" s="11" t="n">
        <v>46329</v>
      </c>
      <c r="G34" s="11" t="n">
        <v>46339</v>
      </c>
      <c r="H34" s="7" t="s">
        <v>122</v>
      </c>
      <c r="I34" s="7" t="s">
        <v>123</v>
      </c>
      <c r="J34" s="7" t="s">
        <v>116</v>
      </c>
      <c r="K34" s="6"/>
      <c r="L34" s="14" t="s">
        <v>47</v>
      </c>
      <c r="M34" s="6"/>
      <c r="N34" s="6"/>
      <c r="O34" s="12" t="s">
        <v>41</v>
      </c>
      <c r="P34" s="13" t="s">
        <v>43</v>
      </c>
      <c r="Q34" s="13"/>
    </row>
    <row r="35" customFormat="false" ht="23.85" hidden="false" customHeight="false" outlineLevel="0" collapsed="false">
      <c r="A35" s="6" t="s">
        <v>124</v>
      </c>
      <c r="B35" s="7" t="s">
        <v>76</v>
      </c>
      <c r="C35" s="7" t="s">
        <v>125</v>
      </c>
      <c r="D35" s="6" t="s">
        <v>18</v>
      </c>
      <c r="E35" s="6" t="s">
        <v>12</v>
      </c>
      <c r="F35" s="11" t="n">
        <v>46329</v>
      </c>
      <c r="G35" s="11" t="n">
        <v>46339</v>
      </c>
      <c r="H35" s="7" t="s">
        <v>126</v>
      </c>
      <c r="I35" s="7" t="s">
        <v>127</v>
      </c>
      <c r="J35" s="7" t="s">
        <v>128</v>
      </c>
      <c r="K35" s="6"/>
      <c r="L35" s="14" t="s">
        <v>47</v>
      </c>
      <c r="M35" s="6"/>
      <c r="N35" s="6"/>
      <c r="O35" s="12" t="s">
        <v>41</v>
      </c>
      <c r="P35" s="13" t="s">
        <v>43</v>
      </c>
      <c r="Q35" s="13"/>
    </row>
    <row r="36" customFormat="false" ht="23.85" hidden="false" customHeight="false" outlineLevel="0" collapsed="false">
      <c r="A36" s="6" t="s">
        <v>129</v>
      </c>
      <c r="B36" s="7" t="s">
        <v>130</v>
      </c>
      <c r="C36" s="7" t="s">
        <v>131</v>
      </c>
      <c r="D36" s="6" t="s">
        <v>10</v>
      </c>
      <c r="E36" s="6" t="s">
        <v>12</v>
      </c>
      <c r="F36" s="11" t="n">
        <v>46322</v>
      </c>
      <c r="G36" s="11" t="n">
        <v>46328</v>
      </c>
      <c r="H36" s="7" t="s">
        <v>132</v>
      </c>
      <c r="I36" s="7" t="s">
        <v>133</v>
      </c>
      <c r="J36" s="7" t="s">
        <v>75</v>
      </c>
      <c r="K36" s="12" t="s">
        <v>41</v>
      </c>
      <c r="L36" s="14" t="s">
        <v>47</v>
      </c>
      <c r="M36" s="6"/>
      <c r="N36" s="6"/>
      <c r="O36" s="6"/>
      <c r="P36" s="13" t="s">
        <v>43</v>
      </c>
      <c r="Q36" s="13"/>
    </row>
    <row r="37" customFormat="false" ht="15" hidden="false" customHeight="false" outlineLevel="0" collapsed="false">
      <c r="A37" s="6" t="s">
        <v>134</v>
      </c>
      <c r="B37" s="7" t="s">
        <v>130</v>
      </c>
      <c r="C37" s="7" t="s">
        <v>135</v>
      </c>
      <c r="D37" s="6" t="s">
        <v>14</v>
      </c>
      <c r="E37" s="6" t="s">
        <v>12</v>
      </c>
      <c r="F37" s="11" t="n">
        <v>46322</v>
      </c>
      <c r="G37" s="11" t="n">
        <v>46328</v>
      </c>
      <c r="H37" s="7" t="s">
        <v>136</v>
      </c>
      <c r="I37" s="7" t="s">
        <v>137</v>
      </c>
      <c r="J37" s="7" t="s">
        <v>83</v>
      </c>
      <c r="K37" s="6"/>
      <c r="L37" s="14" t="s">
        <v>47</v>
      </c>
      <c r="M37" s="12" t="s">
        <v>41</v>
      </c>
      <c r="N37" s="6"/>
      <c r="O37" s="6"/>
      <c r="P37" s="13" t="s">
        <v>43</v>
      </c>
      <c r="Q37" s="13"/>
    </row>
    <row r="38" customFormat="false" ht="15" hidden="false" customHeight="false" outlineLevel="0" collapsed="false">
      <c r="A38" s="6" t="s">
        <v>138</v>
      </c>
      <c r="B38" s="7" t="s">
        <v>130</v>
      </c>
      <c r="C38" s="7" t="s">
        <v>139</v>
      </c>
      <c r="D38" s="6" t="s">
        <v>16</v>
      </c>
      <c r="E38" s="6" t="s">
        <v>12</v>
      </c>
      <c r="F38" s="11" t="n">
        <v>46322</v>
      </c>
      <c r="G38" s="11" t="n">
        <v>46335</v>
      </c>
      <c r="H38" s="7" t="s">
        <v>140</v>
      </c>
      <c r="I38" s="7" t="s">
        <v>141</v>
      </c>
      <c r="J38" s="7" t="s">
        <v>112</v>
      </c>
      <c r="K38" s="6"/>
      <c r="L38" s="14" t="s">
        <v>47</v>
      </c>
      <c r="M38" s="6"/>
      <c r="N38" s="12" t="s">
        <v>41</v>
      </c>
      <c r="O38" s="6"/>
      <c r="P38" s="13" t="s">
        <v>43</v>
      </c>
      <c r="Q38" s="13"/>
    </row>
    <row r="39" customFormat="false" ht="23.85" hidden="false" customHeight="false" outlineLevel="0" collapsed="false">
      <c r="A39" s="6" t="s">
        <v>142</v>
      </c>
      <c r="B39" s="7" t="s">
        <v>130</v>
      </c>
      <c r="C39" s="7" t="s">
        <v>143</v>
      </c>
      <c r="D39" s="6" t="s">
        <v>12</v>
      </c>
      <c r="E39" s="6" t="s">
        <v>14</v>
      </c>
      <c r="F39" s="11" t="n">
        <v>46322</v>
      </c>
      <c r="G39" s="11" t="n">
        <v>46337</v>
      </c>
      <c r="H39" s="7" t="s">
        <v>144</v>
      </c>
      <c r="I39" s="7" t="s">
        <v>145</v>
      </c>
      <c r="J39" s="7" t="s">
        <v>146</v>
      </c>
      <c r="K39" s="6"/>
      <c r="L39" s="12" t="s">
        <v>41</v>
      </c>
      <c r="M39" s="14" t="s">
        <v>47</v>
      </c>
      <c r="N39" s="6"/>
      <c r="O39" s="6"/>
      <c r="P39" s="13" t="s">
        <v>43</v>
      </c>
      <c r="Q39" s="13"/>
    </row>
    <row r="40" customFormat="false" ht="23.85" hidden="false" customHeight="false" outlineLevel="0" collapsed="false">
      <c r="A40" s="6" t="s">
        <v>147</v>
      </c>
      <c r="B40" s="7" t="s">
        <v>148</v>
      </c>
      <c r="C40" s="7" t="s">
        <v>149</v>
      </c>
      <c r="D40" s="6" t="s">
        <v>16</v>
      </c>
      <c r="E40" s="6" t="s">
        <v>10</v>
      </c>
      <c r="F40" s="11" t="n">
        <v>46310</v>
      </c>
      <c r="G40" s="11" t="n">
        <v>46328</v>
      </c>
      <c r="H40" s="7" t="s">
        <v>150</v>
      </c>
      <c r="I40" s="7" t="s">
        <v>151</v>
      </c>
      <c r="J40" s="7" t="s">
        <v>34</v>
      </c>
      <c r="K40" s="14" t="s">
        <v>47</v>
      </c>
      <c r="L40" s="6"/>
      <c r="M40" s="6"/>
      <c r="N40" s="12" t="s">
        <v>41</v>
      </c>
      <c r="O40" s="6"/>
      <c r="P40" s="13" t="s">
        <v>43</v>
      </c>
      <c r="Q40" s="13"/>
    </row>
    <row r="41" customFormat="false" ht="23.85" hidden="false" customHeight="false" outlineLevel="0" collapsed="false">
      <c r="A41" s="6" t="s">
        <v>152</v>
      </c>
      <c r="B41" s="7" t="s">
        <v>148</v>
      </c>
      <c r="C41" s="7" t="s">
        <v>153</v>
      </c>
      <c r="D41" s="6" t="s">
        <v>16</v>
      </c>
      <c r="E41" s="6" t="s">
        <v>10</v>
      </c>
      <c r="F41" s="11" t="n">
        <v>46322</v>
      </c>
      <c r="G41" s="11" t="n">
        <v>46335</v>
      </c>
      <c r="H41" s="7" t="s">
        <v>154</v>
      </c>
      <c r="I41" s="7" t="s">
        <v>151</v>
      </c>
      <c r="J41" s="7" t="s">
        <v>147</v>
      </c>
      <c r="K41" s="14" t="s">
        <v>47</v>
      </c>
      <c r="L41" s="6"/>
      <c r="M41" s="6"/>
      <c r="N41" s="12" t="s">
        <v>41</v>
      </c>
      <c r="O41" s="6"/>
      <c r="P41" s="13" t="s">
        <v>43</v>
      </c>
      <c r="Q41" s="13"/>
    </row>
    <row r="42" customFormat="false" ht="23.85" hidden="false" customHeight="false" outlineLevel="0" collapsed="false">
      <c r="A42" s="6" t="s">
        <v>155</v>
      </c>
      <c r="B42" s="7" t="s">
        <v>148</v>
      </c>
      <c r="C42" s="7" t="s">
        <v>156</v>
      </c>
      <c r="D42" s="6" t="s">
        <v>16</v>
      </c>
      <c r="E42" s="6" t="s">
        <v>10</v>
      </c>
      <c r="F42" s="11" t="n">
        <v>46329</v>
      </c>
      <c r="G42" s="11" t="n">
        <v>46339</v>
      </c>
      <c r="H42" s="7" t="s">
        <v>157</v>
      </c>
      <c r="I42" s="7" t="s">
        <v>158</v>
      </c>
      <c r="J42" s="7" t="s">
        <v>159</v>
      </c>
      <c r="K42" s="14" t="s">
        <v>47</v>
      </c>
      <c r="L42" s="6"/>
      <c r="M42" s="6"/>
      <c r="N42" s="12" t="s">
        <v>41</v>
      </c>
      <c r="O42" s="6"/>
      <c r="P42" s="13" t="s">
        <v>43</v>
      </c>
      <c r="Q42" s="13"/>
    </row>
    <row r="43" customFormat="false" ht="23.85" hidden="false" customHeight="false" outlineLevel="0" collapsed="false">
      <c r="A43" s="6" t="s">
        <v>160</v>
      </c>
      <c r="B43" s="7" t="s">
        <v>161</v>
      </c>
      <c r="C43" s="7" t="s">
        <v>162</v>
      </c>
      <c r="D43" s="6" t="s">
        <v>18</v>
      </c>
      <c r="E43" s="6" t="s">
        <v>163</v>
      </c>
      <c r="F43" s="11" t="n">
        <v>46329</v>
      </c>
      <c r="G43" s="11" t="n">
        <v>46339</v>
      </c>
      <c r="H43" s="7" t="s">
        <v>164</v>
      </c>
      <c r="I43" s="7" t="s">
        <v>165</v>
      </c>
      <c r="J43" s="7" t="s">
        <v>166</v>
      </c>
      <c r="K43" s="6" t="s">
        <v>42</v>
      </c>
      <c r="L43" s="6" t="s">
        <v>42</v>
      </c>
      <c r="M43" s="6" t="s">
        <v>42</v>
      </c>
      <c r="N43" s="6" t="s">
        <v>42</v>
      </c>
      <c r="O43" s="12" t="s">
        <v>41</v>
      </c>
      <c r="P43" s="13" t="s">
        <v>43</v>
      </c>
      <c r="Q43" s="13"/>
    </row>
    <row r="44" customFormat="false" ht="23.85" hidden="false" customHeight="false" outlineLevel="0" collapsed="false">
      <c r="A44" s="6" t="s">
        <v>167</v>
      </c>
      <c r="B44" s="7" t="s">
        <v>161</v>
      </c>
      <c r="C44" s="7" t="s">
        <v>168</v>
      </c>
      <c r="D44" s="6" t="s">
        <v>18</v>
      </c>
      <c r="E44" s="6" t="s">
        <v>40</v>
      </c>
      <c r="F44" s="11" t="n">
        <v>46320</v>
      </c>
      <c r="G44" s="11" t="n">
        <v>46342</v>
      </c>
      <c r="H44" s="7" t="s">
        <v>169</v>
      </c>
      <c r="I44" s="7" t="s">
        <v>40</v>
      </c>
      <c r="J44" s="7" t="s">
        <v>40</v>
      </c>
      <c r="K44" s="6"/>
      <c r="L44" s="6"/>
      <c r="M44" s="6"/>
      <c r="N44" s="6"/>
      <c r="O44" s="12" t="s">
        <v>41</v>
      </c>
      <c r="P44" s="13" t="s">
        <v>43</v>
      </c>
      <c r="Q44" s="13"/>
    </row>
    <row r="45" customFormat="false" ht="23.85" hidden="false" customHeight="false" outlineLevel="0" collapsed="false">
      <c r="A45" s="6" t="s">
        <v>170</v>
      </c>
      <c r="B45" s="7" t="s">
        <v>161</v>
      </c>
      <c r="C45" s="7" t="s">
        <v>171</v>
      </c>
      <c r="D45" s="6" t="s">
        <v>37</v>
      </c>
      <c r="E45" s="6" t="s">
        <v>40</v>
      </c>
      <c r="F45" s="11" t="n">
        <v>46315</v>
      </c>
      <c r="G45" s="11" t="n">
        <v>46342</v>
      </c>
      <c r="H45" s="7" t="s">
        <v>172</v>
      </c>
      <c r="I45" s="7" t="s">
        <v>40</v>
      </c>
      <c r="J45" s="7" t="s">
        <v>40</v>
      </c>
      <c r="K45" s="12" t="s">
        <v>41</v>
      </c>
      <c r="L45" s="12" t="s">
        <v>41</v>
      </c>
      <c r="M45" s="12" t="s">
        <v>41</v>
      </c>
      <c r="N45" s="12" t="s">
        <v>41</v>
      </c>
      <c r="O45" s="12" t="s">
        <v>41</v>
      </c>
      <c r="P45" s="13" t="s">
        <v>43</v>
      </c>
      <c r="Q45" s="13"/>
    </row>
    <row r="46" customFormat="false" ht="23.85" hidden="false" customHeight="false" outlineLevel="0" collapsed="false">
      <c r="A46" s="6" t="s">
        <v>173</v>
      </c>
      <c r="B46" s="7" t="s">
        <v>161</v>
      </c>
      <c r="C46" s="7" t="s">
        <v>174</v>
      </c>
      <c r="D46" s="6" t="s">
        <v>18</v>
      </c>
      <c r="E46" s="6" t="s">
        <v>10</v>
      </c>
      <c r="F46" s="11" t="n">
        <v>46336</v>
      </c>
      <c r="G46" s="11" t="n">
        <v>46342</v>
      </c>
      <c r="H46" s="7" t="s">
        <v>175</v>
      </c>
      <c r="I46" s="7" t="s">
        <v>176</v>
      </c>
      <c r="J46" s="7" t="s">
        <v>177</v>
      </c>
      <c r="K46" s="14" t="s">
        <v>47</v>
      </c>
      <c r="L46" s="6"/>
      <c r="M46" s="6"/>
      <c r="N46" s="6"/>
      <c r="O46" s="12" t="s">
        <v>41</v>
      </c>
      <c r="P46" s="13" t="s">
        <v>43</v>
      </c>
      <c r="Q46" s="13"/>
    </row>
    <row r="47" customFormat="false" ht="23.85" hidden="false" customHeight="false" outlineLevel="0" collapsed="false">
      <c r="A47" s="6" t="s">
        <v>178</v>
      </c>
      <c r="B47" s="7" t="s">
        <v>179</v>
      </c>
      <c r="C47" s="7" t="s">
        <v>180</v>
      </c>
      <c r="D47" s="6" t="s">
        <v>37</v>
      </c>
      <c r="E47" s="6" t="s">
        <v>181</v>
      </c>
      <c r="F47" s="11" t="n">
        <v>46336</v>
      </c>
      <c r="G47" s="11" t="n">
        <v>46342</v>
      </c>
      <c r="H47" s="7" t="s">
        <v>182</v>
      </c>
      <c r="I47" s="7" t="s">
        <v>183</v>
      </c>
      <c r="J47" s="7" t="s">
        <v>184</v>
      </c>
      <c r="K47" s="12" t="s">
        <v>41</v>
      </c>
      <c r="L47" s="12" t="s">
        <v>41</v>
      </c>
      <c r="M47" s="12" t="s">
        <v>41</v>
      </c>
      <c r="N47" s="12" t="s">
        <v>41</v>
      </c>
      <c r="O47" s="12" t="s">
        <v>41</v>
      </c>
      <c r="P47" s="13" t="s">
        <v>43</v>
      </c>
      <c r="Q47" s="13"/>
    </row>
    <row r="48" customFormat="false" ht="15" hidden="false" customHeight="false" outlineLevel="0" collapsed="false">
      <c r="A48" s="6" t="s">
        <v>185</v>
      </c>
      <c r="B48" s="7" t="s">
        <v>179</v>
      </c>
      <c r="C48" s="7" t="s">
        <v>186</v>
      </c>
      <c r="D48" s="6" t="s">
        <v>14</v>
      </c>
      <c r="E48" s="6" t="s">
        <v>10</v>
      </c>
      <c r="F48" s="11" t="n">
        <v>46336</v>
      </c>
      <c r="G48" s="11" t="n">
        <v>46342</v>
      </c>
      <c r="H48" s="7" t="s">
        <v>187</v>
      </c>
      <c r="I48" s="7" t="s">
        <v>188</v>
      </c>
      <c r="J48" s="7" t="s">
        <v>189</v>
      </c>
      <c r="K48" s="14" t="s">
        <v>47</v>
      </c>
      <c r="L48" s="6"/>
      <c r="M48" s="12" t="s">
        <v>41</v>
      </c>
      <c r="N48" s="6"/>
      <c r="O48" s="6"/>
      <c r="P48" s="13" t="s">
        <v>43</v>
      </c>
      <c r="Q48" s="13"/>
    </row>
    <row r="49" customFormat="false" ht="15" hidden="false" customHeight="false" outlineLevel="0" collapsed="false">
      <c r="A49" s="6" t="s">
        <v>190</v>
      </c>
      <c r="B49" s="7" t="s">
        <v>179</v>
      </c>
      <c r="C49" s="7" t="s">
        <v>191</v>
      </c>
      <c r="D49" s="6" t="s">
        <v>16</v>
      </c>
      <c r="E49" s="6" t="s">
        <v>10</v>
      </c>
      <c r="F49" s="11" t="n">
        <v>46336</v>
      </c>
      <c r="G49" s="11" t="n">
        <v>46342</v>
      </c>
      <c r="H49" s="7" t="s">
        <v>192</v>
      </c>
      <c r="I49" s="7" t="s">
        <v>193</v>
      </c>
      <c r="J49" s="7" t="s">
        <v>194</v>
      </c>
      <c r="K49" s="14" t="s">
        <v>47</v>
      </c>
      <c r="L49" s="6"/>
      <c r="M49" s="6"/>
      <c r="N49" s="12" t="s">
        <v>41</v>
      </c>
      <c r="O49" s="6"/>
      <c r="P49" s="13" t="s">
        <v>43</v>
      </c>
      <c r="Q49" s="13"/>
    </row>
    <row r="50" customFormat="false" ht="23.85" hidden="false" customHeight="false" outlineLevel="0" collapsed="false">
      <c r="A50" s="6" t="s">
        <v>195</v>
      </c>
      <c r="B50" s="7" t="s">
        <v>179</v>
      </c>
      <c r="C50" s="7" t="s">
        <v>196</v>
      </c>
      <c r="D50" s="6" t="s">
        <v>37</v>
      </c>
      <c r="E50" s="6" t="s">
        <v>40</v>
      </c>
      <c r="F50" s="11" t="n">
        <v>46342</v>
      </c>
      <c r="G50" s="11" t="n">
        <v>46342</v>
      </c>
      <c r="H50" s="7" t="s">
        <v>197</v>
      </c>
      <c r="I50" s="7" t="s">
        <v>40</v>
      </c>
      <c r="J50" s="7" t="s">
        <v>178</v>
      </c>
      <c r="K50" s="12" t="s">
        <v>41</v>
      </c>
      <c r="L50" s="12" t="s">
        <v>41</v>
      </c>
      <c r="M50" s="12" t="s">
        <v>41</v>
      </c>
      <c r="N50" s="12" t="s">
        <v>41</v>
      </c>
      <c r="O50" s="12" t="s">
        <v>41</v>
      </c>
      <c r="P50" s="13" t="s">
        <v>43</v>
      </c>
      <c r="Q50" s="13"/>
    </row>
    <row r="51" customFormat="false" ht="15" hidden="false" customHeight="false" outlineLevel="0" collapsed="false">
      <c r="A51" s="6" t="s">
        <v>198</v>
      </c>
      <c r="B51" s="7" t="s">
        <v>179</v>
      </c>
      <c r="C51" s="7" t="s">
        <v>199</v>
      </c>
      <c r="D51" s="6" t="s">
        <v>10</v>
      </c>
      <c r="E51" s="6" t="s">
        <v>37</v>
      </c>
      <c r="F51" s="11" t="n">
        <v>46343</v>
      </c>
      <c r="G51" s="11" t="n">
        <v>46346</v>
      </c>
      <c r="H51" s="7" t="s">
        <v>200</v>
      </c>
      <c r="I51" s="7" t="s">
        <v>201</v>
      </c>
      <c r="J51" s="7" t="s">
        <v>202</v>
      </c>
      <c r="K51" s="12" t="s">
        <v>41</v>
      </c>
      <c r="L51" s="14" t="s">
        <v>47</v>
      </c>
      <c r="M51" s="14" t="s">
        <v>47</v>
      </c>
      <c r="N51" s="14" t="s">
        <v>47</v>
      </c>
      <c r="O51" s="14" t="s">
        <v>47</v>
      </c>
      <c r="P51" s="13" t="s">
        <v>43</v>
      </c>
      <c r="Q51" s="13"/>
    </row>
    <row r="52" customFormat="false" ht="23.85" hidden="false" customHeight="false" outlineLevel="0" collapsed="false">
      <c r="A52" s="6" t="s">
        <v>203</v>
      </c>
      <c r="B52" s="7" t="s">
        <v>204</v>
      </c>
      <c r="C52" s="7" t="s">
        <v>205</v>
      </c>
      <c r="D52" s="6" t="s">
        <v>37</v>
      </c>
      <c r="E52" s="6" t="s">
        <v>40</v>
      </c>
      <c r="F52" s="11" t="n">
        <v>46347</v>
      </c>
      <c r="G52" s="6"/>
      <c r="H52" s="7" t="s">
        <v>40</v>
      </c>
      <c r="I52" s="7" t="s">
        <v>206</v>
      </c>
      <c r="J52" s="7" t="s">
        <v>198</v>
      </c>
      <c r="K52" s="12" t="s">
        <v>41</v>
      </c>
      <c r="L52" s="12" t="s">
        <v>41</v>
      </c>
      <c r="M52" s="12" t="s">
        <v>41</v>
      </c>
      <c r="N52" s="12" t="s">
        <v>41</v>
      </c>
      <c r="O52" s="12" t="s">
        <v>41</v>
      </c>
      <c r="P52" s="13" t="s">
        <v>43</v>
      </c>
      <c r="Q52" s="13"/>
    </row>
    <row r="53" customFormat="false" ht="23.85" hidden="false" customHeight="false" outlineLevel="0" collapsed="false">
      <c r="A53" s="6" t="s">
        <v>207</v>
      </c>
      <c r="B53" s="7" t="s">
        <v>204</v>
      </c>
      <c r="C53" s="7" t="s">
        <v>208</v>
      </c>
      <c r="D53" s="6" t="s">
        <v>37</v>
      </c>
      <c r="E53" s="6" t="s">
        <v>40</v>
      </c>
      <c r="F53" s="6"/>
      <c r="G53" s="6"/>
      <c r="H53" s="7" t="s">
        <v>209</v>
      </c>
      <c r="I53" s="7" t="s">
        <v>210</v>
      </c>
      <c r="J53" s="7" t="s">
        <v>203</v>
      </c>
      <c r="K53" s="12" t="s">
        <v>41</v>
      </c>
      <c r="L53" s="12" t="s">
        <v>41</v>
      </c>
      <c r="M53" s="12" t="s">
        <v>41</v>
      </c>
      <c r="N53" s="12" t="s">
        <v>41</v>
      </c>
      <c r="O53" s="12" t="s">
        <v>41</v>
      </c>
      <c r="P53" s="13" t="s">
        <v>43</v>
      </c>
      <c r="Q53" s="13"/>
    </row>
  </sheetData>
  <autoFilter ref="A13:Q53"/>
  <conditionalFormatting sqref="P14:P53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conditionalFormatting sqref="G14:G53">
    <cfRule type="expression" priority="5" aboveAverage="0" equalAverage="0" bottom="0" percent="0" rank="0" text="" dxfId="9">
      <formula>AND(G14&lt;&gt;"",G14&lt;TODAY(),$P14&lt;&gt;"Hoàn thành")</formula>
    </cfRule>
  </conditionalFormatting>
  <dataValidations count="1">
    <dataValidation allowBlank="true" errorStyle="stop" operator="between" showDropDown="false" showErrorMessage="false" showInputMessage="false" sqref="P14:P53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212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213</v>
      </c>
      <c r="B3" s="9" t="str">
        <f aca="false">IFERROR(INDEX('Thành viên'!$B$4:$B$8,MATCH("TV1",'Thành viên'!$A$4:$A$8,0))&amp;"","")</f>
        <v/>
      </c>
      <c r="C3" s="2"/>
      <c r="D3" s="4" t="s">
        <v>214</v>
      </c>
      <c r="E3" s="10" t="n">
        <f aca="false">IF(COUNTA(B6:B21)=0,0,COUNTIF(I6:I21,"Hoàn thành")/COUNTA(B6:B21))</f>
        <v>0</v>
      </c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23.85" hidden="false" customHeight="false" outlineLevel="0" collapsed="false">
      <c r="A5" s="5" t="s">
        <v>215</v>
      </c>
      <c r="B5" s="5" t="s">
        <v>22</v>
      </c>
      <c r="C5" s="5" t="s">
        <v>216</v>
      </c>
      <c r="D5" s="5" t="s">
        <v>217</v>
      </c>
      <c r="E5" s="5" t="s">
        <v>29</v>
      </c>
      <c r="F5" s="5" t="s">
        <v>218</v>
      </c>
      <c r="G5" s="5" t="s">
        <v>28</v>
      </c>
      <c r="H5" s="5" t="s">
        <v>25</v>
      </c>
      <c r="I5" s="5" t="s">
        <v>32</v>
      </c>
      <c r="J5" s="5" t="s">
        <v>33</v>
      </c>
    </row>
    <row r="6" customFormat="false" ht="23.85" hidden="false" customHeight="false" outlineLevel="0" collapsed="false">
      <c r="A6" s="6" t="n">
        <v>1</v>
      </c>
      <c r="B6" s="6" t="s">
        <v>34</v>
      </c>
      <c r="C6" s="7" t="s">
        <v>219</v>
      </c>
      <c r="D6" s="7" t="s">
        <v>220</v>
      </c>
      <c r="E6" s="7" t="s">
        <v>221</v>
      </c>
      <c r="F6" s="7" t="s">
        <v>222</v>
      </c>
      <c r="G6" s="11" t="n">
        <v>46310</v>
      </c>
      <c r="H6" s="6" t="s">
        <v>10</v>
      </c>
      <c r="I6" s="13" t="s">
        <v>43</v>
      </c>
      <c r="J6" s="13"/>
    </row>
    <row r="7" customFormat="false" ht="23.85" hidden="false" customHeight="false" outlineLevel="0" collapsed="false">
      <c r="A7" s="6" t="n">
        <v>2</v>
      </c>
      <c r="B7" s="6" t="s">
        <v>34</v>
      </c>
      <c r="C7" s="7" t="s">
        <v>219</v>
      </c>
      <c r="D7" s="7" t="s">
        <v>223</v>
      </c>
      <c r="E7" s="7" t="s">
        <v>224</v>
      </c>
      <c r="F7" s="7" t="s">
        <v>225</v>
      </c>
      <c r="G7" s="11" t="n">
        <v>46310</v>
      </c>
      <c r="H7" s="6" t="s">
        <v>10</v>
      </c>
      <c r="I7" s="13" t="s">
        <v>43</v>
      </c>
      <c r="J7" s="13"/>
    </row>
    <row r="8" customFormat="false" ht="23.85" hidden="false" customHeight="false" outlineLevel="0" collapsed="false">
      <c r="A8" s="6" t="n">
        <v>3</v>
      </c>
      <c r="B8" s="6" t="s">
        <v>52</v>
      </c>
      <c r="C8" s="7" t="s">
        <v>219</v>
      </c>
      <c r="D8" s="7" t="s">
        <v>226</v>
      </c>
      <c r="E8" s="7" t="s">
        <v>227</v>
      </c>
      <c r="F8" s="7" t="s">
        <v>228</v>
      </c>
      <c r="G8" s="11" t="n">
        <v>46314</v>
      </c>
      <c r="H8" s="6" t="s">
        <v>10</v>
      </c>
      <c r="I8" s="13" t="s">
        <v>43</v>
      </c>
      <c r="J8" s="13"/>
    </row>
    <row r="9" customFormat="false" ht="23.85" hidden="false" customHeight="false" outlineLevel="0" collapsed="false">
      <c r="A9" s="6" t="n">
        <v>4</v>
      </c>
      <c r="B9" s="6" t="s">
        <v>56</v>
      </c>
      <c r="C9" s="7" t="s">
        <v>229</v>
      </c>
      <c r="D9" s="7" t="s">
        <v>230</v>
      </c>
      <c r="E9" s="7" t="s">
        <v>231</v>
      </c>
      <c r="F9" s="7" t="s">
        <v>232</v>
      </c>
      <c r="G9" s="11" t="n">
        <v>46317</v>
      </c>
      <c r="H9" s="6" t="s">
        <v>10</v>
      </c>
      <c r="I9" s="13" t="s">
        <v>43</v>
      </c>
      <c r="J9" s="13"/>
    </row>
    <row r="10" customFormat="false" ht="23.85" hidden="false" customHeight="false" outlineLevel="0" collapsed="false">
      <c r="A10" s="6" t="n">
        <v>5</v>
      </c>
      <c r="B10" s="6" t="s">
        <v>56</v>
      </c>
      <c r="C10" s="7" t="s">
        <v>229</v>
      </c>
      <c r="D10" s="7" t="s">
        <v>233</v>
      </c>
      <c r="E10" s="7" t="s">
        <v>234</v>
      </c>
      <c r="F10" s="7" t="s">
        <v>235</v>
      </c>
      <c r="G10" s="11" t="n">
        <v>46321</v>
      </c>
      <c r="H10" s="6" t="s">
        <v>10</v>
      </c>
      <c r="I10" s="13" t="s">
        <v>43</v>
      </c>
      <c r="J10" s="13"/>
    </row>
    <row r="11" customFormat="false" ht="15" hidden="false" customHeight="false" outlineLevel="0" collapsed="false">
      <c r="A11" s="6" t="n">
        <v>6</v>
      </c>
      <c r="B11" s="6" t="s">
        <v>70</v>
      </c>
      <c r="C11" s="7" t="s">
        <v>229</v>
      </c>
      <c r="D11" s="7" t="s">
        <v>236</v>
      </c>
      <c r="E11" s="7" t="s">
        <v>72</v>
      </c>
      <c r="F11" s="7" t="s">
        <v>237</v>
      </c>
      <c r="G11" s="11" t="n">
        <v>46321</v>
      </c>
      <c r="H11" s="6" t="s">
        <v>10</v>
      </c>
      <c r="I11" s="13" t="s">
        <v>43</v>
      </c>
      <c r="J11" s="13"/>
    </row>
    <row r="12" customFormat="false" ht="35.05" hidden="false" customHeight="false" outlineLevel="0" collapsed="false">
      <c r="A12" s="6" t="n">
        <v>7</v>
      </c>
      <c r="B12" s="6" t="s">
        <v>75</v>
      </c>
      <c r="C12" s="7" t="s">
        <v>238</v>
      </c>
      <c r="D12" s="7" t="s">
        <v>239</v>
      </c>
      <c r="E12" s="7" t="s">
        <v>78</v>
      </c>
      <c r="F12" s="7" t="s">
        <v>240</v>
      </c>
      <c r="G12" s="11" t="n">
        <v>46325</v>
      </c>
      <c r="H12" s="6" t="s">
        <v>10</v>
      </c>
      <c r="I12" s="13" t="s">
        <v>43</v>
      </c>
      <c r="J12" s="13"/>
    </row>
    <row r="13" customFormat="false" ht="23.85" hidden="false" customHeight="false" outlineLevel="0" collapsed="false">
      <c r="A13" s="6" t="n">
        <v>8</v>
      </c>
      <c r="B13" s="6" t="s">
        <v>75</v>
      </c>
      <c r="C13" s="7" t="s">
        <v>238</v>
      </c>
      <c r="D13" s="7" t="s">
        <v>241</v>
      </c>
      <c r="E13" s="7" t="s">
        <v>78</v>
      </c>
      <c r="F13" s="7" t="s">
        <v>242</v>
      </c>
      <c r="G13" s="11" t="n">
        <v>46325</v>
      </c>
      <c r="H13" s="6" t="s">
        <v>10</v>
      </c>
      <c r="I13" s="13" t="s">
        <v>43</v>
      </c>
      <c r="J13" s="13"/>
    </row>
    <row r="14" customFormat="false" ht="23.85" hidden="false" customHeight="false" outlineLevel="0" collapsed="false">
      <c r="A14" s="6" t="n">
        <v>9</v>
      </c>
      <c r="B14" s="6" t="s">
        <v>75</v>
      </c>
      <c r="C14" s="7" t="s">
        <v>238</v>
      </c>
      <c r="D14" s="7" t="s">
        <v>243</v>
      </c>
      <c r="E14" s="7" t="s">
        <v>78</v>
      </c>
      <c r="F14" s="7" t="s">
        <v>244</v>
      </c>
      <c r="G14" s="11" t="n">
        <v>46325</v>
      </c>
      <c r="H14" s="6" t="s">
        <v>10</v>
      </c>
      <c r="I14" s="13" t="s">
        <v>43</v>
      </c>
      <c r="J14" s="13"/>
    </row>
    <row r="15" customFormat="false" ht="23.85" hidden="false" customHeight="false" outlineLevel="0" collapsed="false">
      <c r="A15" s="6" t="n">
        <v>10</v>
      </c>
      <c r="B15" s="6" t="s">
        <v>90</v>
      </c>
      <c r="C15" s="7" t="s">
        <v>245</v>
      </c>
      <c r="D15" s="7" t="s">
        <v>246</v>
      </c>
      <c r="E15" s="7" t="s">
        <v>247</v>
      </c>
      <c r="F15" s="7" t="s">
        <v>248</v>
      </c>
      <c r="G15" s="11" t="n">
        <v>46335</v>
      </c>
      <c r="H15" s="6" t="s">
        <v>10</v>
      </c>
      <c r="I15" s="13" t="s">
        <v>43</v>
      </c>
      <c r="J15" s="13"/>
    </row>
    <row r="16" customFormat="false" ht="15" hidden="false" customHeight="false" outlineLevel="0" collapsed="false">
      <c r="A16" s="6" t="n">
        <v>11</v>
      </c>
      <c r="B16" s="6" t="s">
        <v>90</v>
      </c>
      <c r="C16" s="7" t="s">
        <v>245</v>
      </c>
      <c r="D16" s="7" t="s">
        <v>249</v>
      </c>
      <c r="E16" s="7" t="s">
        <v>250</v>
      </c>
      <c r="F16" s="7" t="s">
        <v>248</v>
      </c>
      <c r="G16" s="11" t="n">
        <v>46335</v>
      </c>
      <c r="H16" s="6" t="s">
        <v>10</v>
      </c>
      <c r="I16" s="13" t="s">
        <v>43</v>
      </c>
      <c r="J16" s="13"/>
    </row>
    <row r="17" customFormat="false" ht="15" hidden="false" customHeight="false" outlineLevel="0" collapsed="false">
      <c r="A17" s="6" t="n">
        <v>12</v>
      </c>
      <c r="B17" s="6" t="s">
        <v>90</v>
      </c>
      <c r="C17" s="7" t="s">
        <v>245</v>
      </c>
      <c r="D17" s="7" t="s">
        <v>251</v>
      </c>
      <c r="E17" s="7" t="s">
        <v>252</v>
      </c>
      <c r="F17" s="7" t="s">
        <v>248</v>
      </c>
      <c r="G17" s="11" t="n">
        <v>46335</v>
      </c>
      <c r="H17" s="6" t="s">
        <v>10</v>
      </c>
      <c r="I17" s="13" t="s">
        <v>43</v>
      </c>
      <c r="J17" s="13"/>
    </row>
    <row r="18" customFormat="false" ht="23.85" hidden="false" customHeight="false" outlineLevel="0" collapsed="false">
      <c r="A18" s="6" t="n">
        <v>13</v>
      </c>
      <c r="B18" s="6" t="s">
        <v>95</v>
      </c>
      <c r="C18" s="7" t="s">
        <v>253</v>
      </c>
      <c r="D18" s="7" t="s">
        <v>254</v>
      </c>
      <c r="E18" s="7" t="s">
        <v>255</v>
      </c>
      <c r="F18" s="7" t="s">
        <v>256</v>
      </c>
      <c r="G18" s="11" t="n">
        <v>46335</v>
      </c>
      <c r="H18" s="6" t="s">
        <v>10</v>
      </c>
      <c r="I18" s="13" t="s">
        <v>43</v>
      </c>
      <c r="J18" s="13"/>
    </row>
    <row r="19" customFormat="false" ht="23.85" hidden="false" customHeight="false" outlineLevel="0" collapsed="false">
      <c r="A19" s="6" t="n">
        <v>14</v>
      </c>
      <c r="B19" s="6" t="s">
        <v>129</v>
      </c>
      <c r="C19" s="7" t="s">
        <v>257</v>
      </c>
      <c r="D19" s="7" t="s">
        <v>258</v>
      </c>
      <c r="E19" s="7" t="s">
        <v>132</v>
      </c>
      <c r="F19" s="7" t="s">
        <v>259</v>
      </c>
      <c r="G19" s="11" t="n">
        <v>46328</v>
      </c>
      <c r="H19" s="6" t="s">
        <v>10</v>
      </c>
      <c r="I19" s="13" t="s">
        <v>43</v>
      </c>
      <c r="J19" s="13"/>
    </row>
    <row r="20" customFormat="false" ht="15" hidden="false" customHeight="false" outlineLevel="0" collapsed="false">
      <c r="A20" s="6" t="n">
        <v>15</v>
      </c>
      <c r="B20" s="6" t="s">
        <v>178</v>
      </c>
      <c r="C20" s="7" t="s">
        <v>260</v>
      </c>
      <c r="D20" s="7" t="s">
        <v>261</v>
      </c>
      <c r="E20" s="7" t="s">
        <v>234</v>
      </c>
      <c r="F20" s="7" t="s">
        <v>262</v>
      </c>
      <c r="G20" s="11" t="n">
        <v>46342</v>
      </c>
      <c r="H20" s="6" t="s">
        <v>10</v>
      </c>
      <c r="I20" s="13" t="s">
        <v>43</v>
      </c>
      <c r="J20" s="13"/>
    </row>
    <row r="21" customFormat="false" ht="23.85" hidden="false" customHeight="false" outlineLevel="0" collapsed="false">
      <c r="A21" s="6" t="n">
        <v>16</v>
      </c>
      <c r="B21" s="6" t="s">
        <v>198</v>
      </c>
      <c r="C21" s="7" t="s">
        <v>260</v>
      </c>
      <c r="D21" s="7" t="s">
        <v>263</v>
      </c>
      <c r="E21" s="7" t="s">
        <v>264</v>
      </c>
      <c r="F21" s="7" t="s">
        <v>265</v>
      </c>
      <c r="G21" s="11" t="n">
        <v>46346</v>
      </c>
      <c r="H21" s="6" t="s">
        <v>10</v>
      </c>
      <c r="I21" s="13" t="s">
        <v>43</v>
      </c>
      <c r="J21" s="13"/>
    </row>
  </sheetData>
  <autoFilter ref="A5:J21"/>
  <conditionalFormatting sqref="I6:I21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I6:I21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267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213</v>
      </c>
      <c r="B3" s="9" t="str">
        <f aca="false">IFERROR(INDEX('Thành viên'!$B$4:$B$8,MATCH("TV2",'Thành viên'!$A$4:$A$8,0))&amp;"","")</f>
        <v/>
      </c>
      <c r="C3" s="2"/>
      <c r="D3" s="4" t="s">
        <v>214</v>
      </c>
      <c r="E3" s="10" t="n">
        <f aca="false">IF(COUNTA(B6:B19)=0,0,COUNTIF(I6:I19,"Hoàn thành")/COUNTA(B6:B19))</f>
        <v>0</v>
      </c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23.85" hidden="false" customHeight="false" outlineLevel="0" collapsed="false">
      <c r="A5" s="5" t="s">
        <v>215</v>
      </c>
      <c r="B5" s="5" t="s">
        <v>22</v>
      </c>
      <c r="C5" s="5" t="s">
        <v>216</v>
      </c>
      <c r="D5" s="5" t="s">
        <v>217</v>
      </c>
      <c r="E5" s="5" t="s">
        <v>29</v>
      </c>
      <c r="F5" s="5" t="s">
        <v>218</v>
      </c>
      <c r="G5" s="5" t="s">
        <v>28</v>
      </c>
      <c r="H5" s="5" t="s">
        <v>25</v>
      </c>
      <c r="I5" s="5" t="s">
        <v>32</v>
      </c>
      <c r="J5" s="5" t="s">
        <v>33</v>
      </c>
    </row>
    <row r="6" customFormat="false" ht="15" hidden="false" customHeight="false" outlineLevel="0" collapsed="false">
      <c r="A6" s="6" t="n">
        <v>1</v>
      </c>
      <c r="B6" s="6" t="s">
        <v>44</v>
      </c>
      <c r="C6" s="7" t="s">
        <v>219</v>
      </c>
      <c r="D6" s="7" t="s">
        <v>268</v>
      </c>
      <c r="E6" s="7" t="s">
        <v>269</v>
      </c>
      <c r="F6" s="7" t="s">
        <v>270</v>
      </c>
      <c r="G6" s="11" t="n">
        <v>46313</v>
      </c>
      <c r="H6" s="6" t="s">
        <v>12</v>
      </c>
      <c r="I6" s="13" t="s">
        <v>43</v>
      </c>
      <c r="J6" s="13"/>
    </row>
    <row r="7" customFormat="false" ht="23.85" hidden="false" customHeight="false" outlineLevel="0" collapsed="false">
      <c r="A7" s="6" t="n">
        <v>2</v>
      </c>
      <c r="B7" s="6" t="s">
        <v>61</v>
      </c>
      <c r="C7" s="7" t="s">
        <v>229</v>
      </c>
      <c r="D7" s="7" t="s">
        <v>271</v>
      </c>
      <c r="E7" s="7" t="s">
        <v>272</v>
      </c>
      <c r="F7" s="7" t="s">
        <v>273</v>
      </c>
      <c r="G7" s="11" t="n">
        <v>46317</v>
      </c>
      <c r="H7" s="6" t="s">
        <v>12</v>
      </c>
      <c r="I7" s="13" t="s">
        <v>43</v>
      </c>
      <c r="J7" s="13"/>
    </row>
    <row r="8" customFormat="false" ht="23.85" hidden="false" customHeight="false" outlineLevel="0" collapsed="false">
      <c r="A8" s="6" t="n">
        <v>3</v>
      </c>
      <c r="B8" s="6" t="s">
        <v>61</v>
      </c>
      <c r="C8" s="7" t="s">
        <v>229</v>
      </c>
      <c r="D8" s="7" t="s">
        <v>274</v>
      </c>
      <c r="E8" s="7" t="s">
        <v>272</v>
      </c>
      <c r="F8" s="7" t="s">
        <v>275</v>
      </c>
      <c r="G8" s="11" t="n">
        <v>46317</v>
      </c>
      <c r="H8" s="6" t="s">
        <v>12</v>
      </c>
      <c r="I8" s="13" t="s">
        <v>43</v>
      </c>
      <c r="J8" s="13"/>
    </row>
    <row r="9" customFormat="false" ht="23.85" hidden="false" customHeight="false" outlineLevel="0" collapsed="false">
      <c r="A9" s="6" t="n">
        <v>4</v>
      </c>
      <c r="B9" s="6" t="s">
        <v>61</v>
      </c>
      <c r="C9" s="7" t="s">
        <v>229</v>
      </c>
      <c r="D9" s="7" t="s">
        <v>276</v>
      </c>
      <c r="E9" s="7" t="s">
        <v>277</v>
      </c>
      <c r="F9" s="7" t="s">
        <v>278</v>
      </c>
      <c r="G9" s="11" t="n">
        <v>46321</v>
      </c>
      <c r="H9" s="6" t="s">
        <v>12</v>
      </c>
      <c r="I9" s="13" t="s">
        <v>43</v>
      </c>
      <c r="J9" s="13"/>
    </row>
    <row r="10" customFormat="false" ht="23.85" hidden="false" customHeight="false" outlineLevel="0" collapsed="false">
      <c r="A10" s="6" t="n">
        <v>5</v>
      </c>
      <c r="B10" s="6" t="s">
        <v>80</v>
      </c>
      <c r="C10" s="7" t="s">
        <v>238</v>
      </c>
      <c r="D10" s="7" t="s">
        <v>279</v>
      </c>
      <c r="E10" s="7" t="s">
        <v>82</v>
      </c>
      <c r="F10" s="7" t="s">
        <v>280</v>
      </c>
      <c r="G10" s="11" t="n">
        <v>46325</v>
      </c>
      <c r="H10" s="6" t="s">
        <v>12</v>
      </c>
      <c r="I10" s="13" t="s">
        <v>43</v>
      </c>
      <c r="J10" s="13"/>
    </row>
    <row r="11" customFormat="false" ht="23.85" hidden="false" customHeight="false" outlineLevel="0" collapsed="false">
      <c r="A11" s="6" t="n">
        <v>6</v>
      </c>
      <c r="B11" s="6" t="s">
        <v>80</v>
      </c>
      <c r="C11" s="7" t="s">
        <v>238</v>
      </c>
      <c r="D11" s="7" t="s">
        <v>281</v>
      </c>
      <c r="E11" s="7" t="s">
        <v>82</v>
      </c>
      <c r="F11" s="7" t="s">
        <v>282</v>
      </c>
      <c r="G11" s="11" t="n">
        <v>46325</v>
      </c>
      <c r="H11" s="6" t="s">
        <v>12</v>
      </c>
      <c r="I11" s="13" t="s">
        <v>43</v>
      </c>
      <c r="J11" s="13"/>
    </row>
    <row r="12" customFormat="false" ht="15" hidden="false" customHeight="false" outlineLevel="0" collapsed="false">
      <c r="A12" s="6" t="n">
        <v>7</v>
      </c>
      <c r="B12" s="6" t="s">
        <v>80</v>
      </c>
      <c r="C12" s="7" t="s">
        <v>238</v>
      </c>
      <c r="D12" s="7" t="s">
        <v>283</v>
      </c>
      <c r="E12" s="7" t="s">
        <v>82</v>
      </c>
      <c r="F12" s="7" t="s">
        <v>284</v>
      </c>
      <c r="G12" s="11" t="n">
        <v>46325</v>
      </c>
      <c r="H12" s="6" t="s">
        <v>12</v>
      </c>
      <c r="I12" s="13" t="s">
        <v>43</v>
      </c>
      <c r="J12" s="13"/>
    </row>
    <row r="13" customFormat="false" ht="23.85" hidden="false" customHeight="false" outlineLevel="0" collapsed="false">
      <c r="A13" s="6" t="n">
        <v>8</v>
      </c>
      <c r="B13" s="6" t="s">
        <v>80</v>
      </c>
      <c r="C13" s="7" t="s">
        <v>238</v>
      </c>
      <c r="D13" s="7" t="s">
        <v>285</v>
      </c>
      <c r="E13" s="7" t="s">
        <v>82</v>
      </c>
      <c r="F13" s="7" t="s">
        <v>286</v>
      </c>
      <c r="G13" s="11" t="n">
        <v>46325</v>
      </c>
      <c r="H13" s="6" t="s">
        <v>12</v>
      </c>
      <c r="I13" s="13" t="s">
        <v>43</v>
      </c>
      <c r="J13" s="13"/>
    </row>
    <row r="14" customFormat="false" ht="15" hidden="false" customHeight="false" outlineLevel="0" collapsed="false">
      <c r="A14" s="6" t="n">
        <v>9</v>
      </c>
      <c r="B14" s="6" t="s">
        <v>99</v>
      </c>
      <c r="C14" s="7" t="s">
        <v>245</v>
      </c>
      <c r="D14" s="7" t="s">
        <v>287</v>
      </c>
      <c r="E14" s="7" t="s">
        <v>288</v>
      </c>
      <c r="F14" s="7" t="s">
        <v>248</v>
      </c>
      <c r="G14" s="11" t="n">
        <v>46335</v>
      </c>
      <c r="H14" s="6" t="s">
        <v>12</v>
      </c>
      <c r="I14" s="13" t="s">
        <v>43</v>
      </c>
      <c r="J14" s="13"/>
    </row>
    <row r="15" customFormat="false" ht="23.85" hidden="false" customHeight="false" outlineLevel="0" collapsed="false">
      <c r="A15" s="6" t="n">
        <v>10</v>
      </c>
      <c r="B15" s="6" t="s">
        <v>99</v>
      </c>
      <c r="C15" s="7" t="s">
        <v>253</v>
      </c>
      <c r="D15" s="7" t="s">
        <v>289</v>
      </c>
      <c r="E15" s="7" t="s">
        <v>290</v>
      </c>
      <c r="F15" s="7" t="s">
        <v>291</v>
      </c>
      <c r="G15" s="11" t="n">
        <v>46335</v>
      </c>
      <c r="H15" s="6" t="s">
        <v>12</v>
      </c>
      <c r="I15" s="13" t="s">
        <v>43</v>
      </c>
      <c r="J15" s="13"/>
    </row>
    <row r="16" customFormat="false" ht="23.85" hidden="false" customHeight="false" outlineLevel="0" collapsed="false">
      <c r="A16" s="6" t="n">
        <v>11</v>
      </c>
      <c r="B16" s="6" t="s">
        <v>142</v>
      </c>
      <c r="C16" s="7" t="s">
        <v>257</v>
      </c>
      <c r="D16" s="7" t="s">
        <v>292</v>
      </c>
      <c r="E16" s="7" t="s">
        <v>293</v>
      </c>
      <c r="F16" s="7" t="s">
        <v>294</v>
      </c>
      <c r="G16" s="11" t="n">
        <v>46328</v>
      </c>
      <c r="H16" s="6" t="s">
        <v>12</v>
      </c>
      <c r="I16" s="13" t="s">
        <v>43</v>
      </c>
      <c r="J16" s="13"/>
    </row>
    <row r="17" customFormat="false" ht="23.85" hidden="false" customHeight="false" outlineLevel="0" collapsed="false">
      <c r="A17" s="6" t="n">
        <v>12</v>
      </c>
      <c r="B17" s="6" t="s">
        <v>142</v>
      </c>
      <c r="C17" s="7" t="s">
        <v>257</v>
      </c>
      <c r="D17" s="7" t="s">
        <v>295</v>
      </c>
      <c r="E17" s="7" t="s">
        <v>293</v>
      </c>
      <c r="F17" s="7" t="s">
        <v>296</v>
      </c>
      <c r="G17" s="11" t="n">
        <v>46337</v>
      </c>
      <c r="H17" s="6" t="s">
        <v>12</v>
      </c>
      <c r="I17" s="13" t="s">
        <v>43</v>
      </c>
      <c r="J17" s="13"/>
    </row>
    <row r="18" customFormat="false" ht="15" hidden="false" customHeight="false" outlineLevel="0" collapsed="false">
      <c r="A18" s="6" t="n">
        <v>13</v>
      </c>
      <c r="B18" s="6" t="s">
        <v>142</v>
      </c>
      <c r="C18" s="7" t="s">
        <v>257</v>
      </c>
      <c r="D18" s="7" t="s">
        <v>297</v>
      </c>
      <c r="E18" s="7" t="s">
        <v>298</v>
      </c>
      <c r="F18" s="7" t="s">
        <v>299</v>
      </c>
      <c r="G18" s="11" t="n">
        <v>46337</v>
      </c>
      <c r="H18" s="6" t="s">
        <v>12</v>
      </c>
      <c r="I18" s="13" t="s">
        <v>43</v>
      </c>
      <c r="J18" s="13"/>
    </row>
    <row r="19" customFormat="false" ht="15" hidden="false" customHeight="false" outlineLevel="0" collapsed="false">
      <c r="A19" s="6" t="n">
        <v>14</v>
      </c>
      <c r="B19" s="6" t="s">
        <v>178</v>
      </c>
      <c r="C19" s="7" t="s">
        <v>260</v>
      </c>
      <c r="D19" s="7" t="s">
        <v>300</v>
      </c>
      <c r="E19" s="7" t="s">
        <v>277</v>
      </c>
      <c r="F19" s="7" t="s">
        <v>301</v>
      </c>
      <c r="G19" s="11" t="n">
        <v>46342</v>
      </c>
      <c r="H19" s="6" t="s">
        <v>12</v>
      </c>
      <c r="I19" s="13" t="s">
        <v>43</v>
      </c>
      <c r="J19" s="13"/>
    </row>
  </sheetData>
  <autoFilter ref="A5:J19"/>
  <conditionalFormatting sqref="I6:I19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I6:I19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303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213</v>
      </c>
      <c r="B3" s="9" t="str">
        <f aca="false">IFERROR(INDEX('Thành viên'!$B$4:$B$8,MATCH("TV3",'Thành viên'!$A$4:$A$8,0))&amp;"","")</f>
        <v/>
      </c>
      <c r="C3" s="2"/>
      <c r="D3" s="4" t="s">
        <v>214</v>
      </c>
      <c r="E3" s="10" t="n">
        <f aca="false">IF(COUNTA(B6:B17)=0,0,COUNTIF(I6:I17,"Hoàn thành")/COUNTA(B6:B17))</f>
        <v>0</v>
      </c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23.85" hidden="false" customHeight="false" outlineLevel="0" collapsed="false">
      <c r="A5" s="5" t="s">
        <v>215</v>
      </c>
      <c r="B5" s="5" t="s">
        <v>22</v>
      </c>
      <c r="C5" s="5" t="s">
        <v>216</v>
      </c>
      <c r="D5" s="5" t="s">
        <v>217</v>
      </c>
      <c r="E5" s="5" t="s">
        <v>29</v>
      </c>
      <c r="F5" s="5" t="s">
        <v>218</v>
      </c>
      <c r="G5" s="5" t="s">
        <v>28</v>
      </c>
      <c r="H5" s="5" t="s">
        <v>25</v>
      </c>
      <c r="I5" s="5" t="s">
        <v>32</v>
      </c>
      <c r="J5" s="5" t="s">
        <v>33</v>
      </c>
    </row>
    <row r="6" customFormat="false" ht="15" hidden="false" customHeight="false" outlineLevel="0" collapsed="false">
      <c r="A6" s="6" t="n">
        <v>1</v>
      </c>
      <c r="B6" s="6" t="s">
        <v>44</v>
      </c>
      <c r="C6" s="7" t="s">
        <v>219</v>
      </c>
      <c r="D6" s="7" t="s">
        <v>304</v>
      </c>
      <c r="E6" s="7" t="s">
        <v>269</v>
      </c>
      <c r="F6" s="7" t="s">
        <v>270</v>
      </c>
      <c r="G6" s="11" t="n">
        <v>46313</v>
      </c>
      <c r="H6" s="6" t="s">
        <v>14</v>
      </c>
      <c r="I6" s="13" t="s">
        <v>43</v>
      </c>
      <c r="J6" s="13"/>
    </row>
    <row r="7" customFormat="false" ht="23.85" hidden="false" customHeight="false" outlineLevel="0" collapsed="false">
      <c r="A7" s="6" t="n">
        <v>2</v>
      </c>
      <c r="B7" s="6" t="s">
        <v>64</v>
      </c>
      <c r="C7" s="7" t="s">
        <v>229</v>
      </c>
      <c r="D7" s="7" t="s">
        <v>305</v>
      </c>
      <c r="E7" s="7" t="s">
        <v>306</v>
      </c>
      <c r="F7" s="7" t="s">
        <v>273</v>
      </c>
      <c r="G7" s="11" t="n">
        <v>46317</v>
      </c>
      <c r="H7" s="6" t="s">
        <v>14</v>
      </c>
      <c r="I7" s="13" t="s">
        <v>43</v>
      </c>
      <c r="J7" s="13"/>
    </row>
    <row r="8" customFormat="false" ht="23.85" hidden="false" customHeight="false" outlineLevel="0" collapsed="false">
      <c r="A8" s="6" t="n">
        <v>3</v>
      </c>
      <c r="B8" s="6" t="s">
        <v>64</v>
      </c>
      <c r="C8" s="7" t="s">
        <v>229</v>
      </c>
      <c r="D8" s="7" t="s">
        <v>307</v>
      </c>
      <c r="E8" s="7" t="s">
        <v>306</v>
      </c>
      <c r="F8" s="7" t="s">
        <v>308</v>
      </c>
      <c r="G8" s="11" t="n">
        <v>46317</v>
      </c>
      <c r="H8" s="6" t="s">
        <v>14</v>
      </c>
      <c r="I8" s="13" t="s">
        <v>43</v>
      </c>
      <c r="J8" s="13"/>
    </row>
    <row r="9" customFormat="false" ht="23.85" hidden="false" customHeight="false" outlineLevel="0" collapsed="false">
      <c r="A9" s="6" t="n">
        <v>4</v>
      </c>
      <c r="B9" s="6" t="s">
        <v>64</v>
      </c>
      <c r="C9" s="7" t="s">
        <v>229</v>
      </c>
      <c r="D9" s="7" t="s">
        <v>309</v>
      </c>
      <c r="E9" s="7" t="s">
        <v>187</v>
      </c>
      <c r="F9" s="7" t="s">
        <v>278</v>
      </c>
      <c r="G9" s="11" t="n">
        <v>46321</v>
      </c>
      <c r="H9" s="6" t="s">
        <v>14</v>
      </c>
      <c r="I9" s="13" t="s">
        <v>43</v>
      </c>
      <c r="J9" s="13"/>
    </row>
    <row r="10" customFormat="false" ht="23.85" hidden="false" customHeight="false" outlineLevel="0" collapsed="false">
      <c r="A10" s="6" t="n">
        <v>5</v>
      </c>
      <c r="B10" s="6" t="s">
        <v>83</v>
      </c>
      <c r="C10" s="7" t="s">
        <v>238</v>
      </c>
      <c r="D10" s="7" t="s">
        <v>310</v>
      </c>
      <c r="E10" s="7" t="s">
        <v>85</v>
      </c>
      <c r="F10" s="7" t="s">
        <v>311</v>
      </c>
      <c r="G10" s="11" t="n">
        <v>46325</v>
      </c>
      <c r="H10" s="6" t="s">
        <v>14</v>
      </c>
      <c r="I10" s="13" t="s">
        <v>43</v>
      </c>
      <c r="J10" s="13"/>
    </row>
    <row r="11" customFormat="false" ht="35.05" hidden="false" customHeight="false" outlineLevel="0" collapsed="false">
      <c r="A11" s="6" t="n">
        <v>6</v>
      </c>
      <c r="B11" s="6" t="s">
        <v>83</v>
      </c>
      <c r="C11" s="7" t="s">
        <v>238</v>
      </c>
      <c r="D11" s="7" t="s">
        <v>312</v>
      </c>
      <c r="E11" s="7" t="s">
        <v>85</v>
      </c>
      <c r="F11" s="7" t="s">
        <v>313</v>
      </c>
      <c r="G11" s="11" t="n">
        <v>46325</v>
      </c>
      <c r="H11" s="6" t="s">
        <v>14</v>
      </c>
      <c r="I11" s="13" t="s">
        <v>43</v>
      </c>
      <c r="J11" s="13"/>
    </row>
    <row r="12" customFormat="false" ht="23.85" hidden="false" customHeight="false" outlineLevel="0" collapsed="false">
      <c r="A12" s="6" t="n">
        <v>7</v>
      </c>
      <c r="B12" s="6" t="s">
        <v>83</v>
      </c>
      <c r="C12" s="7" t="s">
        <v>238</v>
      </c>
      <c r="D12" s="7" t="s">
        <v>314</v>
      </c>
      <c r="E12" s="7" t="s">
        <v>85</v>
      </c>
      <c r="F12" s="7" t="s">
        <v>286</v>
      </c>
      <c r="G12" s="11" t="n">
        <v>46325</v>
      </c>
      <c r="H12" s="6" t="s">
        <v>14</v>
      </c>
      <c r="I12" s="13" t="s">
        <v>43</v>
      </c>
      <c r="J12" s="13"/>
    </row>
    <row r="13" customFormat="false" ht="23.85" hidden="false" customHeight="false" outlineLevel="0" collapsed="false">
      <c r="A13" s="6" t="n">
        <v>8</v>
      </c>
      <c r="B13" s="6" t="s">
        <v>103</v>
      </c>
      <c r="C13" s="7" t="s">
        <v>245</v>
      </c>
      <c r="D13" s="7" t="s">
        <v>315</v>
      </c>
      <c r="E13" s="7" t="s">
        <v>316</v>
      </c>
      <c r="F13" s="7" t="s">
        <v>248</v>
      </c>
      <c r="G13" s="11" t="n">
        <v>46335</v>
      </c>
      <c r="H13" s="6" t="s">
        <v>14</v>
      </c>
      <c r="I13" s="13" t="s">
        <v>43</v>
      </c>
      <c r="J13" s="13"/>
    </row>
    <row r="14" customFormat="false" ht="35.05" hidden="false" customHeight="false" outlineLevel="0" collapsed="false">
      <c r="A14" s="6" t="n">
        <v>9</v>
      </c>
      <c r="B14" s="6" t="s">
        <v>107</v>
      </c>
      <c r="C14" s="7" t="s">
        <v>253</v>
      </c>
      <c r="D14" s="7" t="s">
        <v>317</v>
      </c>
      <c r="E14" s="7" t="s">
        <v>318</v>
      </c>
      <c r="F14" s="7" t="s">
        <v>319</v>
      </c>
      <c r="G14" s="11" t="n">
        <v>46335</v>
      </c>
      <c r="H14" s="6" t="s">
        <v>14</v>
      </c>
      <c r="I14" s="13" t="s">
        <v>43</v>
      </c>
      <c r="J14" s="13"/>
    </row>
    <row r="15" customFormat="false" ht="15" hidden="false" customHeight="false" outlineLevel="0" collapsed="false">
      <c r="A15" s="6" t="n">
        <v>10</v>
      </c>
      <c r="B15" s="6" t="s">
        <v>134</v>
      </c>
      <c r="C15" s="7" t="s">
        <v>257</v>
      </c>
      <c r="D15" s="7" t="s">
        <v>320</v>
      </c>
      <c r="E15" s="7" t="s">
        <v>136</v>
      </c>
      <c r="F15" s="7" t="s">
        <v>321</v>
      </c>
      <c r="G15" s="11" t="n">
        <v>46328</v>
      </c>
      <c r="H15" s="6" t="s">
        <v>14</v>
      </c>
      <c r="I15" s="13" t="s">
        <v>43</v>
      </c>
      <c r="J15" s="13"/>
    </row>
    <row r="16" customFormat="false" ht="15" hidden="false" customHeight="false" outlineLevel="0" collapsed="false">
      <c r="A16" s="6" t="n">
        <v>11</v>
      </c>
      <c r="B16" s="6" t="s">
        <v>178</v>
      </c>
      <c r="C16" s="7" t="s">
        <v>260</v>
      </c>
      <c r="D16" s="7" t="s">
        <v>322</v>
      </c>
      <c r="E16" s="7" t="s">
        <v>187</v>
      </c>
      <c r="F16" s="7" t="s">
        <v>323</v>
      </c>
      <c r="G16" s="11" t="n">
        <v>46342</v>
      </c>
      <c r="H16" s="6" t="s">
        <v>14</v>
      </c>
      <c r="I16" s="13" t="s">
        <v>43</v>
      </c>
      <c r="J16" s="13"/>
    </row>
    <row r="17" customFormat="false" ht="23.85" hidden="false" customHeight="false" outlineLevel="0" collapsed="false">
      <c r="A17" s="6" t="n">
        <v>12</v>
      </c>
      <c r="B17" s="6" t="s">
        <v>185</v>
      </c>
      <c r="C17" s="7" t="s">
        <v>260</v>
      </c>
      <c r="D17" s="7" t="s">
        <v>324</v>
      </c>
      <c r="E17" s="7" t="s">
        <v>187</v>
      </c>
      <c r="F17" s="7" t="s">
        <v>325</v>
      </c>
      <c r="G17" s="11" t="n">
        <v>46342</v>
      </c>
      <c r="H17" s="6" t="s">
        <v>14</v>
      </c>
      <c r="I17" s="13" t="s">
        <v>43</v>
      </c>
      <c r="J17" s="13"/>
    </row>
  </sheetData>
  <autoFilter ref="A5:J17"/>
  <conditionalFormatting sqref="I6:I17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I6:I17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326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327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213</v>
      </c>
      <c r="B3" s="9" t="str">
        <f aca="false">IFERROR(INDEX('Thành viên'!$B$4:$B$8,MATCH("TV4",'Thành viên'!$A$4:$A$8,0))&amp;"","")</f>
        <v/>
      </c>
      <c r="C3" s="2"/>
      <c r="D3" s="4" t="s">
        <v>214</v>
      </c>
      <c r="E3" s="10" t="n">
        <f aca="false">IF(COUNTA(B6:B21)=0,0,COUNTIF(I6:I21,"Hoàn thành")/COUNTA(B6:B21))</f>
        <v>0</v>
      </c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23.85" hidden="false" customHeight="false" outlineLevel="0" collapsed="false">
      <c r="A5" s="5" t="s">
        <v>215</v>
      </c>
      <c r="B5" s="5" t="s">
        <v>22</v>
      </c>
      <c r="C5" s="5" t="s">
        <v>216</v>
      </c>
      <c r="D5" s="5" t="s">
        <v>217</v>
      </c>
      <c r="E5" s="5" t="s">
        <v>29</v>
      </c>
      <c r="F5" s="5" t="s">
        <v>218</v>
      </c>
      <c r="G5" s="5" t="s">
        <v>28</v>
      </c>
      <c r="H5" s="5" t="s">
        <v>25</v>
      </c>
      <c r="I5" s="5" t="s">
        <v>32</v>
      </c>
      <c r="J5" s="5" t="s">
        <v>33</v>
      </c>
    </row>
    <row r="6" customFormat="false" ht="15" hidden="false" customHeight="false" outlineLevel="0" collapsed="false">
      <c r="A6" s="6" t="n">
        <v>1</v>
      </c>
      <c r="B6" s="6" t="s">
        <v>44</v>
      </c>
      <c r="C6" s="7" t="s">
        <v>219</v>
      </c>
      <c r="D6" s="7" t="s">
        <v>328</v>
      </c>
      <c r="E6" s="7" t="s">
        <v>269</v>
      </c>
      <c r="F6" s="7" t="s">
        <v>270</v>
      </c>
      <c r="G6" s="11" t="n">
        <v>46313</v>
      </c>
      <c r="H6" s="6" t="s">
        <v>16</v>
      </c>
      <c r="I6" s="13" t="s">
        <v>43</v>
      </c>
      <c r="J6" s="13"/>
    </row>
    <row r="7" customFormat="false" ht="23.85" hidden="false" customHeight="false" outlineLevel="0" collapsed="false">
      <c r="A7" s="6" t="n">
        <v>2</v>
      </c>
      <c r="B7" s="6" t="s">
        <v>67</v>
      </c>
      <c r="C7" s="7" t="s">
        <v>229</v>
      </c>
      <c r="D7" s="7" t="s">
        <v>329</v>
      </c>
      <c r="E7" s="7" t="s">
        <v>330</v>
      </c>
      <c r="F7" s="7" t="s">
        <v>273</v>
      </c>
      <c r="G7" s="11" t="n">
        <v>46317</v>
      </c>
      <c r="H7" s="6" t="s">
        <v>16</v>
      </c>
      <c r="I7" s="13" t="s">
        <v>43</v>
      </c>
      <c r="J7" s="13"/>
    </row>
    <row r="8" customFormat="false" ht="15" hidden="false" customHeight="false" outlineLevel="0" collapsed="false">
      <c r="A8" s="6" t="n">
        <v>3</v>
      </c>
      <c r="B8" s="6" t="s">
        <v>67</v>
      </c>
      <c r="C8" s="7" t="s">
        <v>229</v>
      </c>
      <c r="D8" s="7" t="s">
        <v>331</v>
      </c>
      <c r="E8" s="7" t="s">
        <v>192</v>
      </c>
      <c r="F8" s="7" t="s">
        <v>278</v>
      </c>
      <c r="G8" s="11" t="n">
        <v>46321</v>
      </c>
      <c r="H8" s="6" t="s">
        <v>16</v>
      </c>
      <c r="I8" s="13" t="s">
        <v>43</v>
      </c>
      <c r="J8" s="13"/>
    </row>
    <row r="9" customFormat="false" ht="23.85" hidden="false" customHeight="false" outlineLevel="0" collapsed="false">
      <c r="A9" s="6" t="n">
        <v>4</v>
      </c>
      <c r="B9" s="6" t="s">
        <v>87</v>
      </c>
      <c r="C9" s="7" t="s">
        <v>238</v>
      </c>
      <c r="D9" s="7" t="s">
        <v>332</v>
      </c>
      <c r="E9" s="7" t="s">
        <v>89</v>
      </c>
      <c r="F9" s="7" t="s">
        <v>311</v>
      </c>
      <c r="G9" s="11" t="n">
        <v>46325</v>
      </c>
      <c r="H9" s="6" t="s">
        <v>16</v>
      </c>
      <c r="I9" s="13" t="s">
        <v>43</v>
      </c>
      <c r="J9" s="13"/>
    </row>
    <row r="10" customFormat="false" ht="23.85" hidden="false" customHeight="false" outlineLevel="0" collapsed="false">
      <c r="A10" s="6" t="n">
        <v>5</v>
      </c>
      <c r="B10" s="6" t="s">
        <v>87</v>
      </c>
      <c r="C10" s="7" t="s">
        <v>238</v>
      </c>
      <c r="D10" s="7" t="s">
        <v>333</v>
      </c>
      <c r="E10" s="7" t="s">
        <v>89</v>
      </c>
      <c r="F10" s="7" t="s">
        <v>286</v>
      </c>
      <c r="G10" s="11" t="n">
        <v>46325</v>
      </c>
      <c r="H10" s="6" t="s">
        <v>16</v>
      </c>
      <c r="I10" s="13" t="s">
        <v>43</v>
      </c>
      <c r="J10" s="13"/>
    </row>
    <row r="11" customFormat="false" ht="15" hidden="false" customHeight="false" outlineLevel="0" collapsed="false">
      <c r="A11" s="6" t="n">
        <v>6</v>
      </c>
      <c r="B11" s="6" t="s">
        <v>112</v>
      </c>
      <c r="C11" s="7" t="s">
        <v>245</v>
      </c>
      <c r="D11" s="7" t="s">
        <v>334</v>
      </c>
      <c r="E11" s="7" t="s">
        <v>335</v>
      </c>
      <c r="F11" s="7" t="s">
        <v>248</v>
      </c>
      <c r="G11" s="11" t="n">
        <v>46335</v>
      </c>
      <c r="H11" s="6" t="s">
        <v>16</v>
      </c>
      <c r="I11" s="13" t="s">
        <v>43</v>
      </c>
      <c r="J11" s="13"/>
    </row>
    <row r="12" customFormat="false" ht="23.85" hidden="false" customHeight="false" outlineLevel="0" collapsed="false">
      <c r="A12" s="6" t="n">
        <v>7</v>
      </c>
      <c r="B12" s="6" t="s">
        <v>112</v>
      </c>
      <c r="C12" s="7" t="s">
        <v>253</v>
      </c>
      <c r="D12" s="7" t="s">
        <v>336</v>
      </c>
      <c r="E12" s="7" t="s">
        <v>337</v>
      </c>
      <c r="F12" s="7" t="s">
        <v>248</v>
      </c>
      <c r="G12" s="11" t="n">
        <v>46335</v>
      </c>
      <c r="H12" s="6" t="s">
        <v>16</v>
      </c>
      <c r="I12" s="13" t="s">
        <v>43</v>
      </c>
      <c r="J12" s="13"/>
    </row>
    <row r="13" customFormat="false" ht="23.85" hidden="false" customHeight="false" outlineLevel="0" collapsed="false">
      <c r="A13" s="6" t="n">
        <v>8</v>
      </c>
      <c r="B13" s="6" t="s">
        <v>138</v>
      </c>
      <c r="C13" s="7" t="s">
        <v>257</v>
      </c>
      <c r="D13" s="7" t="s">
        <v>338</v>
      </c>
      <c r="E13" s="7" t="s">
        <v>140</v>
      </c>
      <c r="F13" s="7" t="s">
        <v>339</v>
      </c>
      <c r="G13" s="11" t="n">
        <v>46335</v>
      </c>
      <c r="H13" s="6" t="s">
        <v>16</v>
      </c>
      <c r="I13" s="13" t="s">
        <v>43</v>
      </c>
      <c r="J13" s="13"/>
    </row>
    <row r="14" customFormat="false" ht="23.85" hidden="false" customHeight="false" outlineLevel="0" collapsed="false">
      <c r="A14" s="6" t="n">
        <v>9</v>
      </c>
      <c r="B14" s="6" t="s">
        <v>147</v>
      </c>
      <c r="C14" s="7" t="s">
        <v>340</v>
      </c>
      <c r="D14" s="7" t="s">
        <v>341</v>
      </c>
      <c r="E14" s="7" t="s">
        <v>342</v>
      </c>
      <c r="F14" s="7" t="s">
        <v>343</v>
      </c>
      <c r="G14" s="11" t="n">
        <v>46321</v>
      </c>
      <c r="H14" s="6" t="s">
        <v>16</v>
      </c>
      <c r="I14" s="13" t="s">
        <v>43</v>
      </c>
      <c r="J14" s="13"/>
    </row>
    <row r="15" customFormat="false" ht="23.85" hidden="false" customHeight="false" outlineLevel="0" collapsed="false">
      <c r="A15" s="6" t="n">
        <v>10</v>
      </c>
      <c r="B15" s="6" t="s">
        <v>147</v>
      </c>
      <c r="C15" s="7" t="s">
        <v>340</v>
      </c>
      <c r="D15" s="7" t="s">
        <v>344</v>
      </c>
      <c r="E15" s="7" t="s">
        <v>192</v>
      </c>
      <c r="F15" s="7" t="s">
        <v>345</v>
      </c>
      <c r="G15" s="11" t="n">
        <v>46328</v>
      </c>
      <c r="H15" s="6" t="s">
        <v>16</v>
      </c>
      <c r="I15" s="13" t="s">
        <v>43</v>
      </c>
      <c r="J15" s="13"/>
    </row>
    <row r="16" customFormat="false" ht="15" hidden="false" customHeight="false" outlineLevel="0" collapsed="false">
      <c r="A16" s="6" t="n">
        <v>11</v>
      </c>
      <c r="B16" s="6" t="s">
        <v>152</v>
      </c>
      <c r="C16" s="7" t="s">
        <v>340</v>
      </c>
      <c r="D16" s="7" t="s">
        <v>346</v>
      </c>
      <c r="E16" s="7" t="s">
        <v>192</v>
      </c>
      <c r="F16" s="7" t="s">
        <v>347</v>
      </c>
      <c r="G16" s="11" t="n">
        <v>46332</v>
      </c>
      <c r="H16" s="6" t="s">
        <v>16</v>
      </c>
      <c r="I16" s="13" t="s">
        <v>43</v>
      </c>
      <c r="J16" s="13"/>
    </row>
    <row r="17" customFormat="false" ht="23.85" hidden="false" customHeight="false" outlineLevel="0" collapsed="false">
      <c r="A17" s="6" t="n">
        <v>12</v>
      </c>
      <c r="B17" s="6" t="s">
        <v>152</v>
      </c>
      <c r="C17" s="7" t="s">
        <v>340</v>
      </c>
      <c r="D17" s="7" t="s">
        <v>348</v>
      </c>
      <c r="E17" s="7" t="s">
        <v>349</v>
      </c>
      <c r="F17" s="7" t="s">
        <v>350</v>
      </c>
      <c r="G17" s="11" t="n">
        <v>46335</v>
      </c>
      <c r="H17" s="6" t="s">
        <v>16</v>
      </c>
      <c r="I17" s="13" t="s">
        <v>43</v>
      </c>
      <c r="J17" s="13"/>
    </row>
    <row r="18" customFormat="false" ht="35.05" hidden="false" customHeight="false" outlineLevel="0" collapsed="false">
      <c r="A18" s="6" t="n">
        <v>13</v>
      </c>
      <c r="B18" s="6" t="s">
        <v>155</v>
      </c>
      <c r="C18" s="7" t="s">
        <v>340</v>
      </c>
      <c r="D18" s="7" t="s">
        <v>351</v>
      </c>
      <c r="E18" s="7" t="s">
        <v>192</v>
      </c>
      <c r="F18" s="7" t="s">
        <v>352</v>
      </c>
      <c r="G18" s="11" t="n">
        <v>46339</v>
      </c>
      <c r="H18" s="6" t="s">
        <v>16</v>
      </c>
      <c r="I18" s="13" t="s">
        <v>43</v>
      </c>
      <c r="J18" s="13"/>
    </row>
    <row r="19" customFormat="false" ht="23.85" hidden="false" customHeight="false" outlineLevel="0" collapsed="false">
      <c r="A19" s="6" t="n">
        <v>14</v>
      </c>
      <c r="B19" s="6" t="s">
        <v>155</v>
      </c>
      <c r="C19" s="7" t="s">
        <v>340</v>
      </c>
      <c r="D19" s="7" t="s">
        <v>353</v>
      </c>
      <c r="E19" s="7" t="s">
        <v>354</v>
      </c>
      <c r="F19" s="7" t="s">
        <v>355</v>
      </c>
      <c r="G19" s="11" t="n">
        <v>46339</v>
      </c>
      <c r="H19" s="6" t="s">
        <v>16</v>
      </c>
      <c r="I19" s="13" t="s">
        <v>43</v>
      </c>
      <c r="J19" s="13"/>
    </row>
    <row r="20" customFormat="false" ht="15" hidden="false" customHeight="false" outlineLevel="0" collapsed="false">
      <c r="A20" s="6" t="n">
        <v>15</v>
      </c>
      <c r="B20" s="6" t="s">
        <v>178</v>
      </c>
      <c r="C20" s="7" t="s">
        <v>260</v>
      </c>
      <c r="D20" s="7" t="s">
        <v>356</v>
      </c>
      <c r="E20" s="7" t="s">
        <v>192</v>
      </c>
      <c r="F20" s="7" t="s">
        <v>357</v>
      </c>
      <c r="G20" s="11" t="n">
        <v>46342</v>
      </c>
      <c r="H20" s="6" t="s">
        <v>16</v>
      </c>
      <c r="I20" s="13" t="s">
        <v>43</v>
      </c>
      <c r="J20" s="13"/>
    </row>
    <row r="21" customFormat="false" ht="15" hidden="false" customHeight="false" outlineLevel="0" collapsed="false">
      <c r="A21" s="6" t="n">
        <v>16</v>
      </c>
      <c r="B21" s="6" t="s">
        <v>190</v>
      </c>
      <c r="C21" s="7" t="s">
        <v>260</v>
      </c>
      <c r="D21" s="7" t="s">
        <v>358</v>
      </c>
      <c r="E21" s="7" t="s">
        <v>192</v>
      </c>
      <c r="F21" s="7" t="s">
        <v>359</v>
      </c>
      <c r="G21" s="11" t="n">
        <v>46342</v>
      </c>
      <c r="H21" s="6" t="s">
        <v>16</v>
      </c>
      <c r="I21" s="13" t="s">
        <v>43</v>
      </c>
      <c r="J21" s="13"/>
    </row>
  </sheetData>
  <autoFilter ref="A5:J21"/>
  <conditionalFormatting sqref="I6:I21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I6:I21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360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361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213</v>
      </c>
      <c r="B3" s="9" t="str">
        <f aca="false">IFERROR(INDEX('Thành viên'!$B$4:$B$8,MATCH("TV5",'Thành viên'!$A$4:$A$8,0))&amp;"","")</f>
        <v/>
      </c>
      <c r="C3" s="2"/>
      <c r="D3" s="4" t="s">
        <v>214</v>
      </c>
      <c r="E3" s="10" t="n">
        <f aca="false">IF(COUNTA(B6:B15)=0,0,COUNTIF(I6:I15,"Hoàn thành")/COUNTA(B6:B15))</f>
        <v>0</v>
      </c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23.85" hidden="false" customHeight="false" outlineLevel="0" collapsed="false">
      <c r="A5" s="5" t="s">
        <v>215</v>
      </c>
      <c r="B5" s="5" t="s">
        <v>22</v>
      </c>
      <c r="C5" s="5" t="s">
        <v>216</v>
      </c>
      <c r="D5" s="5" t="s">
        <v>217</v>
      </c>
      <c r="E5" s="5" t="s">
        <v>29</v>
      </c>
      <c r="F5" s="5" t="s">
        <v>218</v>
      </c>
      <c r="G5" s="5" t="s">
        <v>28</v>
      </c>
      <c r="H5" s="5" t="s">
        <v>25</v>
      </c>
      <c r="I5" s="5" t="s">
        <v>32</v>
      </c>
      <c r="J5" s="5" t="s">
        <v>33</v>
      </c>
    </row>
    <row r="6" customFormat="false" ht="35.05" hidden="false" customHeight="false" outlineLevel="0" collapsed="false">
      <c r="A6" s="6" t="n">
        <v>1</v>
      </c>
      <c r="B6" s="6" t="s">
        <v>48</v>
      </c>
      <c r="C6" s="7" t="s">
        <v>219</v>
      </c>
      <c r="D6" s="7" t="s">
        <v>362</v>
      </c>
      <c r="E6" s="7" t="s">
        <v>50</v>
      </c>
      <c r="F6" s="7" t="s">
        <v>363</v>
      </c>
      <c r="G6" s="11" t="n">
        <v>46314</v>
      </c>
      <c r="H6" s="6" t="s">
        <v>18</v>
      </c>
      <c r="I6" s="13" t="s">
        <v>43</v>
      </c>
      <c r="J6" s="13"/>
    </row>
    <row r="7" customFormat="false" ht="15" hidden="false" customHeight="false" outlineLevel="0" collapsed="false">
      <c r="A7" s="6" t="n">
        <v>2</v>
      </c>
      <c r="B7" s="6" t="s">
        <v>116</v>
      </c>
      <c r="C7" s="7" t="s">
        <v>364</v>
      </c>
      <c r="D7" s="7" t="s">
        <v>365</v>
      </c>
      <c r="E7" s="7" t="s">
        <v>118</v>
      </c>
      <c r="F7" s="7" t="s">
        <v>366</v>
      </c>
      <c r="G7" s="11" t="n">
        <v>46321</v>
      </c>
      <c r="H7" s="6" t="s">
        <v>18</v>
      </c>
      <c r="I7" s="13" t="s">
        <v>43</v>
      </c>
      <c r="J7" s="13"/>
    </row>
    <row r="8" customFormat="false" ht="23.85" hidden="false" customHeight="false" outlineLevel="0" collapsed="false">
      <c r="A8" s="6" t="n">
        <v>3</v>
      </c>
      <c r="B8" s="6" t="s">
        <v>116</v>
      </c>
      <c r="C8" s="7" t="s">
        <v>364</v>
      </c>
      <c r="D8" s="7" t="s">
        <v>367</v>
      </c>
      <c r="E8" s="7" t="s">
        <v>118</v>
      </c>
      <c r="F8" s="7" t="s">
        <v>368</v>
      </c>
      <c r="G8" s="11" t="n">
        <v>46335</v>
      </c>
      <c r="H8" s="6" t="s">
        <v>18</v>
      </c>
      <c r="I8" s="13" t="s">
        <v>43</v>
      </c>
      <c r="J8" s="13"/>
    </row>
    <row r="9" customFormat="false" ht="23.85" hidden="false" customHeight="false" outlineLevel="0" collapsed="false">
      <c r="A9" s="6" t="n">
        <v>4</v>
      </c>
      <c r="B9" s="6" t="s">
        <v>120</v>
      </c>
      <c r="C9" s="7" t="s">
        <v>369</v>
      </c>
      <c r="D9" s="7" t="s">
        <v>370</v>
      </c>
      <c r="E9" s="7" t="s">
        <v>118</v>
      </c>
      <c r="F9" s="7" t="s">
        <v>371</v>
      </c>
      <c r="G9" s="11" t="n">
        <v>46339</v>
      </c>
      <c r="H9" s="6" t="s">
        <v>18</v>
      </c>
      <c r="I9" s="13" t="s">
        <v>43</v>
      </c>
      <c r="J9" s="13"/>
    </row>
    <row r="10" customFormat="false" ht="23.85" hidden="false" customHeight="false" outlineLevel="0" collapsed="false">
      <c r="A10" s="6" t="n">
        <v>5</v>
      </c>
      <c r="B10" s="6" t="s">
        <v>124</v>
      </c>
      <c r="C10" s="7" t="s">
        <v>372</v>
      </c>
      <c r="D10" s="7" t="s">
        <v>373</v>
      </c>
      <c r="E10" s="7" t="s">
        <v>126</v>
      </c>
      <c r="F10" s="7" t="s">
        <v>374</v>
      </c>
      <c r="G10" s="11" t="n">
        <v>46339</v>
      </c>
      <c r="H10" s="6" t="s">
        <v>18</v>
      </c>
      <c r="I10" s="13" t="s">
        <v>43</v>
      </c>
      <c r="J10" s="13"/>
    </row>
    <row r="11" customFormat="false" ht="23.85" hidden="false" customHeight="false" outlineLevel="0" collapsed="false">
      <c r="A11" s="6" t="n">
        <v>6</v>
      </c>
      <c r="B11" s="6" t="s">
        <v>160</v>
      </c>
      <c r="C11" s="7" t="s">
        <v>375</v>
      </c>
      <c r="D11" s="7" t="s">
        <v>376</v>
      </c>
      <c r="E11" s="7" t="s">
        <v>164</v>
      </c>
      <c r="F11" s="7" t="s">
        <v>377</v>
      </c>
      <c r="G11" s="11" t="n">
        <v>46339</v>
      </c>
      <c r="H11" s="6" t="s">
        <v>18</v>
      </c>
      <c r="I11" s="13" t="s">
        <v>43</v>
      </c>
      <c r="J11" s="13"/>
    </row>
    <row r="12" customFormat="false" ht="23.85" hidden="false" customHeight="false" outlineLevel="0" collapsed="false">
      <c r="A12" s="6" t="n">
        <v>7</v>
      </c>
      <c r="B12" s="6" t="s">
        <v>160</v>
      </c>
      <c r="C12" s="7" t="s">
        <v>375</v>
      </c>
      <c r="D12" s="7" t="s">
        <v>378</v>
      </c>
      <c r="E12" s="7" t="s">
        <v>379</v>
      </c>
      <c r="F12" s="7" t="s">
        <v>380</v>
      </c>
      <c r="G12" s="11" t="n">
        <v>46339</v>
      </c>
      <c r="H12" s="6" t="s">
        <v>18</v>
      </c>
      <c r="I12" s="13" t="s">
        <v>43</v>
      </c>
      <c r="J12" s="13"/>
    </row>
    <row r="13" customFormat="false" ht="23.85" hidden="false" customHeight="false" outlineLevel="0" collapsed="false">
      <c r="A13" s="6" t="n">
        <v>8</v>
      </c>
      <c r="B13" s="6" t="s">
        <v>167</v>
      </c>
      <c r="C13" s="7" t="s">
        <v>381</v>
      </c>
      <c r="D13" s="7" t="s">
        <v>382</v>
      </c>
      <c r="E13" s="7" t="s">
        <v>383</v>
      </c>
      <c r="F13" s="7" t="s">
        <v>384</v>
      </c>
      <c r="G13" s="11" t="n">
        <v>46342</v>
      </c>
      <c r="H13" s="6" t="s">
        <v>18</v>
      </c>
      <c r="I13" s="13" t="s">
        <v>43</v>
      </c>
      <c r="J13" s="13"/>
    </row>
    <row r="14" customFormat="false" ht="23.85" hidden="false" customHeight="false" outlineLevel="0" collapsed="false">
      <c r="A14" s="6" t="n">
        <v>9</v>
      </c>
      <c r="B14" s="6" t="s">
        <v>173</v>
      </c>
      <c r="C14" s="7" t="s">
        <v>385</v>
      </c>
      <c r="D14" s="7" t="s">
        <v>386</v>
      </c>
      <c r="E14" s="7" t="s">
        <v>175</v>
      </c>
      <c r="F14" s="7" t="s">
        <v>387</v>
      </c>
      <c r="G14" s="11" t="n">
        <v>46342</v>
      </c>
      <c r="H14" s="6" t="s">
        <v>18</v>
      </c>
      <c r="I14" s="13" t="s">
        <v>43</v>
      </c>
      <c r="J14" s="13"/>
    </row>
    <row r="15" customFormat="false" ht="15" hidden="false" customHeight="false" outlineLevel="0" collapsed="false">
      <c r="A15" s="6" t="n">
        <v>10</v>
      </c>
      <c r="B15" s="6" t="s">
        <v>178</v>
      </c>
      <c r="C15" s="7" t="s">
        <v>260</v>
      </c>
      <c r="D15" s="7" t="s">
        <v>388</v>
      </c>
      <c r="E15" s="7" t="s">
        <v>389</v>
      </c>
      <c r="F15" s="7" t="s">
        <v>390</v>
      </c>
      <c r="G15" s="11" t="n">
        <v>46342</v>
      </c>
      <c r="H15" s="6" t="s">
        <v>18</v>
      </c>
      <c r="I15" s="13" t="s">
        <v>43</v>
      </c>
      <c r="J15" s="13"/>
    </row>
  </sheetData>
  <autoFilter ref="A5:J15"/>
  <conditionalFormatting sqref="I6:I15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I6:I15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8" min="7" style="0" width="9"/>
    <col collapsed="false" customWidth="true" hidden="false" outlineLevel="0" max="10" min="9" style="0" width="3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392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3.85" hidden="false" customHeight="false" outlineLevel="0" collapsed="false">
      <c r="A4" s="5" t="s">
        <v>393</v>
      </c>
      <c r="B4" s="5" t="s">
        <v>394</v>
      </c>
      <c r="C4" s="5" t="s">
        <v>395</v>
      </c>
      <c r="D4" s="5" t="s">
        <v>396</v>
      </c>
      <c r="E4" s="5" t="s">
        <v>397</v>
      </c>
      <c r="F4" s="5" t="s">
        <v>398</v>
      </c>
      <c r="G4" s="5" t="s">
        <v>399</v>
      </c>
      <c r="H4" s="5" t="s">
        <v>400</v>
      </c>
      <c r="I4" s="5" t="s">
        <v>401</v>
      </c>
      <c r="J4" s="5" t="s">
        <v>402</v>
      </c>
      <c r="K4" s="5" t="s">
        <v>32</v>
      </c>
    </row>
    <row r="5" customFormat="false" ht="23.85" hidden="false" customHeight="false" outlineLevel="0" collapsed="false">
      <c r="A5" s="6" t="s">
        <v>403</v>
      </c>
      <c r="B5" s="6" t="s">
        <v>245</v>
      </c>
      <c r="C5" s="7" t="s">
        <v>404</v>
      </c>
      <c r="D5" s="7" t="s">
        <v>405</v>
      </c>
      <c r="E5" s="7" t="s">
        <v>406</v>
      </c>
      <c r="F5" s="7" t="s">
        <v>407</v>
      </c>
      <c r="G5" s="6" t="s">
        <v>408</v>
      </c>
      <c r="H5" s="6" t="s">
        <v>14</v>
      </c>
      <c r="I5" s="7" t="s">
        <v>409</v>
      </c>
      <c r="J5" s="7" t="s">
        <v>410</v>
      </c>
      <c r="K5" s="13" t="s">
        <v>43</v>
      </c>
    </row>
    <row r="6" customFormat="false" ht="23.85" hidden="false" customHeight="false" outlineLevel="0" collapsed="false">
      <c r="A6" s="6" t="s">
        <v>411</v>
      </c>
      <c r="B6" s="6" t="s">
        <v>245</v>
      </c>
      <c r="C6" s="7" t="s">
        <v>412</v>
      </c>
      <c r="D6" s="7" t="s">
        <v>405</v>
      </c>
      <c r="E6" s="7" t="s">
        <v>413</v>
      </c>
      <c r="F6" s="7" t="s">
        <v>414</v>
      </c>
      <c r="G6" s="6" t="s">
        <v>415</v>
      </c>
      <c r="H6" s="6" t="s">
        <v>14</v>
      </c>
      <c r="I6" s="7" t="s">
        <v>416</v>
      </c>
      <c r="J6" s="7" t="s">
        <v>417</v>
      </c>
      <c r="K6" s="13" t="s">
        <v>43</v>
      </c>
    </row>
    <row r="7" customFormat="false" ht="35.05" hidden="false" customHeight="false" outlineLevel="0" collapsed="false">
      <c r="A7" s="6" t="s">
        <v>418</v>
      </c>
      <c r="B7" s="6" t="s">
        <v>245</v>
      </c>
      <c r="C7" s="7" t="s">
        <v>419</v>
      </c>
      <c r="D7" s="7" t="s">
        <v>420</v>
      </c>
      <c r="E7" s="7" t="s">
        <v>421</v>
      </c>
      <c r="F7" s="7" t="s">
        <v>422</v>
      </c>
      <c r="G7" s="6" t="s">
        <v>40</v>
      </c>
      <c r="H7" s="6" t="s">
        <v>14</v>
      </c>
      <c r="I7" s="7" t="s">
        <v>423</v>
      </c>
      <c r="J7" s="7" t="s">
        <v>424</v>
      </c>
      <c r="K7" s="13" t="s">
        <v>43</v>
      </c>
    </row>
    <row r="8" customFormat="false" ht="23.85" hidden="false" customHeight="false" outlineLevel="0" collapsed="false">
      <c r="A8" s="6" t="s">
        <v>425</v>
      </c>
      <c r="B8" s="6" t="s">
        <v>245</v>
      </c>
      <c r="C8" s="7" t="s">
        <v>426</v>
      </c>
      <c r="D8" s="7" t="s">
        <v>427</v>
      </c>
      <c r="E8" s="7" t="s">
        <v>428</v>
      </c>
      <c r="F8" s="7" t="s">
        <v>429</v>
      </c>
      <c r="G8" s="6" t="s">
        <v>40</v>
      </c>
      <c r="H8" s="6" t="s">
        <v>10</v>
      </c>
      <c r="I8" s="7" t="s">
        <v>430</v>
      </c>
      <c r="J8" s="7" t="s">
        <v>431</v>
      </c>
      <c r="K8" s="13" t="s">
        <v>43</v>
      </c>
    </row>
    <row r="9" customFormat="false" ht="23.85" hidden="false" customHeight="false" outlineLevel="0" collapsed="false">
      <c r="A9" s="6" t="s">
        <v>432</v>
      </c>
      <c r="B9" s="6" t="s">
        <v>245</v>
      </c>
      <c r="C9" s="7" t="s">
        <v>433</v>
      </c>
      <c r="D9" s="7" t="s">
        <v>434</v>
      </c>
      <c r="E9" s="7" t="s">
        <v>435</v>
      </c>
      <c r="F9" s="7" t="s">
        <v>436</v>
      </c>
      <c r="G9" s="6" t="s">
        <v>40</v>
      </c>
      <c r="H9" s="6" t="s">
        <v>10</v>
      </c>
      <c r="I9" s="7" t="s">
        <v>437</v>
      </c>
      <c r="J9" s="7" t="s">
        <v>438</v>
      </c>
      <c r="K9" s="13" t="s">
        <v>43</v>
      </c>
    </row>
    <row r="10" customFormat="false" ht="35.05" hidden="false" customHeight="false" outlineLevel="0" collapsed="false">
      <c r="A10" s="6" t="s">
        <v>439</v>
      </c>
      <c r="B10" s="6" t="s">
        <v>245</v>
      </c>
      <c r="C10" s="7" t="s">
        <v>440</v>
      </c>
      <c r="D10" s="7" t="s">
        <v>441</v>
      </c>
      <c r="E10" s="7" t="s">
        <v>442</v>
      </c>
      <c r="F10" s="7" t="s">
        <v>443</v>
      </c>
      <c r="G10" s="6" t="s">
        <v>444</v>
      </c>
      <c r="H10" s="6" t="s">
        <v>10</v>
      </c>
      <c r="I10" s="7" t="s">
        <v>445</v>
      </c>
      <c r="J10" s="7" t="s">
        <v>446</v>
      </c>
      <c r="K10" s="13" t="s">
        <v>43</v>
      </c>
    </row>
    <row r="11" customFormat="false" ht="35.05" hidden="false" customHeight="false" outlineLevel="0" collapsed="false">
      <c r="A11" s="6" t="s">
        <v>447</v>
      </c>
      <c r="B11" s="6" t="s">
        <v>245</v>
      </c>
      <c r="C11" s="7" t="s">
        <v>448</v>
      </c>
      <c r="D11" s="7" t="s">
        <v>449</v>
      </c>
      <c r="E11" s="7" t="s">
        <v>450</v>
      </c>
      <c r="F11" s="7" t="s">
        <v>451</v>
      </c>
      <c r="G11" s="6" t="s">
        <v>452</v>
      </c>
      <c r="H11" s="6" t="s">
        <v>16</v>
      </c>
      <c r="I11" s="7" t="s">
        <v>453</v>
      </c>
      <c r="J11" s="7" t="s">
        <v>454</v>
      </c>
      <c r="K11" s="13" t="s">
        <v>43</v>
      </c>
    </row>
    <row r="12" customFormat="false" ht="35.05" hidden="false" customHeight="false" outlineLevel="0" collapsed="false">
      <c r="A12" s="6" t="s">
        <v>455</v>
      </c>
      <c r="B12" s="6" t="s">
        <v>245</v>
      </c>
      <c r="C12" s="7" t="s">
        <v>456</v>
      </c>
      <c r="D12" s="7" t="s">
        <v>457</v>
      </c>
      <c r="E12" s="7" t="s">
        <v>458</v>
      </c>
      <c r="F12" s="7" t="s">
        <v>459</v>
      </c>
      <c r="G12" s="6" t="s">
        <v>460</v>
      </c>
      <c r="H12" s="6" t="s">
        <v>12</v>
      </c>
      <c r="I12" s="7" t="s">
        <v>461</v>
      </c>
      <c r="J12" s="7" t="s">
        <v>462</v>
      </c>
      <c r="K12" s="13" t="s">
        <v>43</v>
      </c>
    </row>
    <row r="13" customFormat="false" ht="46.25" hidden="false" customHeight="false" outlineLevel="0" collapsed="false">
      <c r="A13" s="6" t="s">
        <v>463</v>
      </c>
      <c r="B13" s="6" t="s">
        <v>253</v>
      </c>
      <c r="C13" s="7" t="s">
        <v>464</v>
      </c>
      <c r="D13" s="7" t="s">
        <v>465</v>
      </c>
      <c r="E13" s="7" t="s">
        <v>466</v>
      </c>
      <c r="F13" s="7" t="s">
        <v>467</v>
      </c>
      <c r="G13" s="6" t="s">
        <v>468</v>
      </c>
      <c r="H13" s="6" t="s">
        <v>14</v>
      </c>
      <c r="I13" s="7" t="s">
        <v>469</v>
      </c>
      <c r="J13" s="7" t="s">
        <v>470</v>
      </c>
      <c r="K13" s="13" t="s">
        <v>43</v>
      </c>
    </row>
    <row r="14" customFormat="false" ht="35.05" hidden="false" customHeight="false" outlineLevel="0" collapsed="false">
      <c r="A14" s="6" t="s">
        <v>471</v>
      </c>
      <c r="B14" s="6" t="s">
        <v>253</v>
      </c>
      <c r="C14" s="7" t="s">
        <v>472</v>
      </c>
      <c r="D14" s="7" t="s">
        <v>473</v>
      </c>
      <c r="E14" s="7" t="s">
        <v>474</v>
      </c>
      <c r="F14" s="7" t="s">
        <v>475</v>
      </c>
      <c r="G14" s="6" t="s">
        <v>476</v>
      </c>
      <c r="H14" s="6" t="s">
        <v>14</v>
      </c>
      <c r="I14" s="7" t="s">
        <v>477</v>
      </c>
      <c r="J14" s="7" t="s">
        <v>478</v>
      </c>
      <c r="K14" s="13" t="s">
        <v>43</v>
      </c>
    </row>
    <row r="15" customFormat="false" ht="23.85" hidden="false" customHeight="false" outlineLevel="0" collapsed="false">
      <c r="A15" s="6" t="s">
        <v>479</v>
      </c>
      <c r="B15" s="6" t="s">
        <v>253</v>
      </c>
      <c r="C15" s="7" t="s">
        <v>480</v>
      </c>
      <c r="D15" s="7" t="s">
        <v>481</v>
      </c>
      <c r="E15" s="7" t="s">
        <v>482</v>
      </c>
      <c r="F15" s="7" t="s">
        <v>483</v>
      </c>
      <c r="G15" s="6" t="s">
        <v>40</v>
      </c>
      <c r="H15" s="6" t="s">
        <v>14</v>
      </c>
      <c r="I15" s="7" t="s">
        <v>484</v>
      </c>
      <c r="J15" s="7" t="s">
        <v>485</v>
      </c>
      <c r="K15" s="13" t="s">
        <v>43</v>
      </c>
    </row>
    <row r="16" customFormat="false" ht="35.05" hidden="false" customHeight="false" outlineLevel="0" collapsed="false">
      <c r="A16" s="6" t="s">
        <v>486</v>
      </c>
      <c r="B16" s="6" t="s">
        <v>253</v>
      </c>
      <c r="C16" s="7" t="s">
        <v>487</v>
      </c>
      <c r="D16" s="7" t="s">
        <v>488</v>
      </c>
      <c r="E16" s="7" t="s">
        <v>489</v>
      </c>
      <c r="F16" s="7" t="s">
        <v>490</v>
      </c>
      <c r="G16" s="6" t="s">
        <v>444</v>
      </c>
      <c r="H16" s="6" t="s">
        <v>10</v>
      </c>
      <c r="I16" s="7" t="s">
        <v>491</v>
      </c>
      <c r="J16" s="7" t="s">
        <v>492</v>
      </c>
      <c r="K16" s="13" t="s">
        <v>43</v>
      </c>
    </row>
    <row r="17" customFormat="false" ht="35.05" hidden="false" customHeight="false" outlineLevel="0" collapsed="false">
      <c r="A17" s="6" t="s">
        <v>493</v>
      </c>
      <c r="B17" s="6" t="s">
        <v>253</v>
      </c>
      <c r="C17" s="7" t="s">
        <v>494</v>
      </c>
      <c r="D17" s="7" t="s">
        <v>495</v>
      </c>
      <c r="E17" s="7" t="s">
        <v>496</v>
      </c>
      <c r="F17" s="7" t="s">
        <v>497</v>
      </c>
      <c r="G17" s="6" t="s">
        <v>40</v>
      </c>
      <c r="H17" s="6" t="s">
        <v>10</v>
      </c>
      <c r="I17" s="7" t="s">
        <v>498</v>
      </c>
      <c r="J17" s="7" t="s">
        <v>499</v>
      </c>
      <c r="K17" s="13" t="s">
        <v>43</v>
      </c>
    </row>
    <row r="18" customFormat="false" ht="35.05" hidden="false" customHeight="false" outlineLevel="0" collapsed="false">
      <c r="A18" s="6" t="s">
        <v>500</v>
      </c>
      <c r="B18" s="6" t="s">
        <v>253</v>
      </c>
      <c r="C18" s="7" t="s">
        <v>501</v>
      </c>
      <c r="D18" s="7" t="s">
        <v>502</v>
      </c>
      <c r="E18" s="7" t="s">
        <v>503</v>
      </c>
      <c r="F18" s="7" t="s">
        <v>504</v>
      </c>
      <c r="G18" s="6" t="s">
        <v>40</v>
      </c>
      <c r="H18" s="6" t="s">
        <v>12</v>
      </c>
      <c r="I18" s="7" t="s">
        <v>505</v>
      </c>
      <c r="J18" s="7" t="s">
        <v>506</v>
      </c>
      <c r="K18" s="13" t="s">
        <v>43</v>
      </c>
    </row>
    <row r="19" customFormat="false" ht="35.05" hidden="false" customHeight="false" outlineLevel="0" collapsed="false">
      <c r="A19" s="6" t="s">
        <v>507</v>
      </c>
      <c r="B19" s="6" t="s">
        <v>253</v>
      </c>
      <c r="C19" s="7" t="s">
        <v>508</v>
      </c>
      <c r="D19" s="7" t="s">
        <v>509</v>
      </c>
      <c r="E19" s="7" t="s">
        <v>510</v>
      </c>
      <c r="F19" s="7" t="s">
        <v>511</v>
      </c>
      <c r="G19" s="6" t="s">
        <v>512</v>
      </c>
      <c r="H19" s="6" t="s">
        <v>16</v>
      </c>
      <c r="I19" s="7" t="s">
        <v>513</v>
      </c>
      <c r="J19" s="7" t="s">
        <v>514</v>
      </c>
      <c r="K19" s="13" t="s">
        <v>43</v>
      </c>
    </row>
  </sheetData>
  <autoFilter ref="A4:K19"/>
  <conditionalFormatting sqref="K5:K19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K5:K19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515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516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215</v>
      </c>
      <c r="B4" s="5" t="s">
        <v>517</v>
      </c>
      <c r="C4" s="5" t="s">
        <v>395</v>
      </c>
      <c r="D4" s="5" t="s">
        <v>518</v>
      </c>
      <c r="E4" s="5" t="s">
        <v>519</v>
      </c>
      <c r="F4" s="5" t="s">
        <v>520</v>
      </c>
      <c r="G4" s="5" t="s">
        <v>521</v>
      </c>
      <c r="H4" s="5" t="s">
        <v>32</v>
      </c>
    </row>
    <row r="5" customFormat="false" ht="35.05" hidden="false" customHeight="false" outlineLevel="0" collapsed="false">
      <c r="A5" s="6" t="n">
        <v>1</v>
      </c>
      <c r="B5" s="7" t="s">
        <v>522</v>
      </c>
      <c r="C5" s="7" t="s">
        <v>523</v>
      </c>
      <c r="D5" s="7" t="s">
        <v>524</v>
      </c>
      <c r="E5" s="7" t="s">
        <v>525</v>
      </c>
      <c r="F5" s="7" t="s">
        <v>526</v>
      </c>
      <c r="G5" s="13"/>
      <c r="H5" s="13" t="s">
        <v>43</v>
      </c>
    </row>
    <row r="6" customFormat="false" ht="23.85" hidden="false" customHeight="false" outlineLevel="0" collapsed="false">
      <c r="A6" s="6" t="n">
        <v>2</v>
      </c>
      <c r="B6" s="7" t="s">
        <v>527</v>
      </c>
      <c r="C6" s="7" t="s">
        <v>528</v>
      </c>
      <c r="D6" s="7" t="s">
        <v>529</v>
      </c>
      <c r="E6" s="7" t="s">
        <v>530</v>
      </c>
      <c r="F6" s="7" t="s">
        <v>531</v>
      </c>
      <c r="G6" s="13"/>
      <c r="H6" s="13" t="s">
        <v>43</v>
      </c>
    </row>
    <row r="7" customFormat="false" ht="23.85" hidden="false" customHeight="false" outlineLevel="0" collapsed="false">
      <c r="A7" s="6" t="n">
        <v>3</v>
      </c>
      <c r="B7" s="7" t="s">
        <v>532</v>
      </c>
      <c r="C7" s="7" t="s">
        <v>533</v>
      </c>
      <c r="D7" s="7" t="s">
        <v>534</v>
      </c>
      <c r="E7" s="7" t="s">
        <v>535</v>
      </c>
      <c r="F7" s="7" t="s">
        <v>536</v>
      </c>
      <c r="G7" s="13"/>
      <c r="H7" s="13" t="s">
        <v>43</v>
      </c>
    </row>
    <row r="8" customFormat="false" ht="23.85" hidden="false" customHeight="false" outlineLevel="0" collapsed="false">
      <c r="A8" s="6" t="n">
        <v>4</v>
      </c>
      <c r="B8" s="7" t="s">
        <v>537</v>
      </c>
      <c r="C8" s="7" t="s">
        <v>538</v>
      </c>
      <c r="D8" s="7" t="s">
        <v>539</v>
      </c>
      <c r="E8" s="7" t="s">
        <v>540</v>
      </c>
      <c r="F8" s="7" t="s">
        <v>541</v>
      </c>
      <c r="G8" s="13"/>
      <c r="H8" s="13" t="s">
        <v>43</v>
      </c>
    </row>
    <row r="9" customFormat="false" ht="15" hidden="false" customHeight="false" outlineLevel="0" collapsed="false">
      <c r="A9" s="6" t="n">
        <v>5</v>
      </c>
      <c r="B9" s="7" t="s">
        <v>542</v>
      </c>
      <c r="C9" s="7" t="s">
        <v>543</v>
      </c>
      <c r="D9" s="7" t="s">
        <v>544</v>
      </c>
      <c r="E9" s="7" t="s">
        <v>545</v>
      </c>
      <c r="F9" s="7" t="s">
        <v>546</v>
      </c>
      <c r="G9" s="13"/>
      <c r="H9" s="13" t="s">
        <v>43</v>
      </c>
    </row>
    <row r="10" customFormat="false" ht="23.85" hidden="false" customHeight="false" outlineLevel="0" collapsed="false">
      <c r="A10" s="6" t="n">
        <v>6</v>
      </c>
      <c r="B10" s="7" t="s">
        <v>547</v>
      </c>
      <c r="C10" s="7" t="s">
        <v>548</v>
      </c>
      <c r="D10" s="7" t="s">
        <v>549</v>
      </c>
      <c r="E10" s="7" t="s">
        <v>550</v>
      </c>
      <c r="F10" s="7" t="s">
        <v>551</v>
      </c>
      <c r="G10" s="13"/>
      <c r="H10" s="13" t="s">
        <v>43</v>
      </c>
    </row>
  </sheetData>
  <autoFilter ref="A4:H10"/>
  <conditionalFormatting sqref="H5:H10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H5:H10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7" min="7" style="0" width="40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552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553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554</v>
      </c>
      <c r="B4" s="5" t="s">
        <v>5</v>
      </c>
      <c r="C4" s="5" t="s">
        <v>555</v>
      </c>
      <c r="D4" s="5" t="s">
        <v>556</v>
      </c>
      <c r="E4" s="5" t="s">
        <v>557</v>
      </c>
      <c r="F4" s="5" t="s">
        <v>558</v>
      </c>
      <c r="G4" s="5" t="s">
        <v>559</v>
      </c>
      <c r="H4" s="5" t="s">
        <v>560</v>
      </c>
    </row>
    <row r="5" customFormat="false" ht="15" hidden="false" customHeight="false" outlineLevel="0" collapsed="false">
      <c r="A5" s="7" t="s">
        <v>561</v>
      </c>
      <c r="B5" s="7" t="s">
        <v>562</v>
      </c>
      <c r="C5" s="6" t="s">
        <v>10</v>
      </c>
      <c r="D5" s="7" t="s">
        <v>563</v>
      </c>
      <c r="E5" s="7" t="s">
        <v>40</v>
      </c>
      <c r="F5" s="7" t="s">
        <v>564</v>
      </c>
      <c r="G5" s="7" t="s">
        <v>565</v>
      </c>
      <c r="H5" s="7" t="s">
        <v>566</v>
      </c>
    </row>
    <row r="6" customFormat="false" ht="23.85" hidden="false" customHeight="false" outlineLevel="0" collapsed="false">
      <c r="A6" s="7" t="s">
        <v>567</v>
      </c>
      <c r="B6" s="7" t="s">
        <v>562</v>
      </c>
      <c r="C6" s="6" t="s">
        <v>10</v>
      </c>
      <c r="D6" s="7" t="s">
        <v>568</v>
      </c>
      <c r="E6" s="7" t="s">
        <v>569</v>
      </c>
      <c r="F6" s="7" t="s">
        <v>570</v>
      </c>
      <c r="G6" s="7" t="s">
        <v>571</v>
      </c>
      <c r="H6" s="7" t="s">
        <v>572</v>
      </c>
    </row>
    <row r="7" customFormat="false" ht="15" hidden="false" customHeight="false" outlineLevel="0" collapsed="false">
      <c r="A7" s="7" t="s">
        <v>573</v>
      </c>
      <c r="B7" s="7" t="s">
        <v>562</v>
      </c>
      <c r="C7" s="6" t="s">
        <v>10</v>
      </c>
      <c r="D7" s="7" t="s">
        <v>574</v>
      </c>
      <c r="E7" s="7" t="s">
        <v>40</v>
      </c>
      <c r="F7" s="7" t="s">
        <v>575</v>
      </c>
      <c r="G7" s="7" t="s">
        <v>40</v>
      </c>
      <c r="H7" s="7" t="s">
        <v>566</v>
      </c>
    </row>
    <row r="8" customFormat="false" ht="15" hidden="false" customHeight="false" outlineLevel="0" collapsed="false">
      <c r="A8" s="7" t="s">
        <v>576</v>
      </c>
      <c r="B8" s="7" t="s">
        <v>562</v>
      </c>
      <c r="C8" s="6" t="s">
        <v>10</v>
      </c>
      <c r="D8" s="7" t="s">
        <v>577</v>
      </c>
      <c r="E8" s="7" t="s">
        <v>578</v>
      </c>
      <c r="F8" s="7" t="s">
        <v>40</v>
      </c>
      <c r="G8" s="7" t="s">
        <v>40</v>
      </c>
      <c r="H8" s="7" t="s">
        <v>579</v>
      </c>
    </row>
    <row r="9" customFormat="false" ht="15" hidden="false" customHeight="false" outlineLevel="0" collapsed="false">
      <c r="A9" s="7" t="s">
        <v>580</v>
      </c>
      <c r="B9" s="7" t="s">
        <v>562</v>
      </c>
      <c r="C9" s="6" t="s">
        <v>10</v>
      </c>
      <c r="D9" s="7" t="s">
        <v>581</v>
      </c>
      <c r="E9" s="7" t="s">
        <v>582</v>
      </c>
      <c r="F9" s="7" t="s">
        <v>583</v>
      </c>
      <c r="G9" s="7" t="s">
        <v>40</v>
      </c>
      <c r="H9" s="7" t="s">
        <v>584</v>
      </c>
    </row>
    <row r="10" customFormat="false" ht="23.85" hidden="false" customHeight="false" outlineLevel="0" collapsed="false">
      <c r="A10" s="7" t="s">
        <v>585</v>
      </c>
      <c r="B10" s="7" t="s">
        <v>562</v>
      </c>
      <c r="C10" s="6" t="s">
        <v>10</v>
      </c>
      <c r="D10" s="7" t="s">
        <v>586</v>
      </c>
      <c r="E10" s="7" t="s">
        <v>587</v>
      </c>
      <c r="F10" s="7" t="s">
        <v>588</v>
      </c>
      <c r="G10" s="7" t="s">
        <v>589</v>
      </c>
      <c r="H10" s="7" t="s">
        <v>590</v>
      </c>
    </row>
    <row r="11" customFormat="false" ht="35.05" hidden="false" customHeight="false" outlineLevel="0" collapsed="false">
      <c r="A11" s="7" t="s">
        <v>591</v>
      </c>
      <c r="B11" s="7" t="s">
        <v>562</v>
      </c>
      <c r="C11" s="6" t="s">
        <v>10</v>
      </c>
      <c r="D11" s="7" t="s">
        <v>592</v>
      </c>
      <c r="E11" s="7" t="s">
        <v>593</v>
      </c>
      <c r="F11" s="7" t="s">
        <v>594</v>
      </c>
      <c r="G11" s="7" t="s">
        <v>595</v>
      </c>
      <c r="H11" s="7" t="s">
        <v>596</v>
      </c>
    </row>
    <row r="12" customFormat="false" ht="15" hidden="false" customHeight="false" outlineLevel="0" collapsed="false">
      <c r="A12" s="7" t="s">
        <v>597</v>
      </c>
      <c r="B12" s="7" t="s">
        <v>562</v>
      </c>
      <c r="C12" s="6" t="s">
        <v>10</v>
      </c>
      <c r="D12" s="7" t="s">
        <v>598</v>
      </c>
      <c r="E12" s="7" t="s">
        <v>599</v>
      </c>
      <c r="F12" s="7" t="s">
        <v>600</v>
      </c>
      <c r="G12" s="7" t="s">
        <v>40</v>
      </c>
      <c r="H12" s="7" t="s">
        <v>601</v>
      </c>
    </row>
    <row r="13" customFormat="false" ht="23.85" hidden="false" customHeight="false" outlineLevel="0" collapsed="false">
      <c r="A13" s="7" t="s">
        <v>602</v>
      </c>
      <c r="B13" s="7" t="s">
        <v>603</v>
      </c>
      <c r="C13" s="6" t="s">
        <v>12</v>
      </c>
      <c r="D13" s="7" t="s">
        <v>604</v>
      </c>
      <c r="E13" s="7" t="s">
        <v>605</v>
      </c>
      <c r="F13" s="7" t="s">
        <v>606</v>
      </c>
      <c r="G13" s="7" t="s">
        <v>607</v>
      </c>
      <c r="H13" s="7" t="s">
        <v>608</v>
      </c>
    </row>
    <row r="14" customFormat="false" ht="23.85" hidden="false" customHeight="false" outlineLevel="0" collapsed="false">
      <c r="A14" s="7" t="s">
        <v>609</v>
      </c>
      <c r="B14" s="7" t="s">
        <v>603</v>
      </c>
      <c r="C14" s="6" t="s">
        <v>12</v>
      </c>
      <c r="D14" s="7" t="s">
        <v>610</v>
      </c>
      <c r="E14" s="7" t="s">
        <v>40</v>
      </c>
      <c r="F14" s="7" t="s">
        <v>611</v>
      </c>
      <c r="G14" s="7" t="s">
        <v>612</v>
      </c>
      <c r="H14" s="7" t="s">
        <v>613</v>
      </c>
    </row>
    <row r="15" customFormat="false" ht="15" hidden="false" customHeight="false" outlineLevel="0" collapsed="false">
      <c r="A15" s="7" t="s">
        <v>614</v>
      </c>
      <c r="B15" s="7" t="s">
        <v>603</v>
      </c>
      <c r="C15" s="6" t="s">
        <v>12</v>
      </c>
      <c r="D15" s="7" t="s">
        <v>615</v>
      </c>
      <c r="E15" s="7" t="s">
        <v>616</v>
      </c>
      <c r="F15" s="7" t="s">
        <v>40</v>
      </c>
      <c r="G15" s="7" t="s">
        <v>617</v>
      </c>
      <c r="H15" s="7" t="s">
        <v>618</v>
      </c>
    </row>
    <row r="16" customFormat="false" ht="23.85" hidden="false" customHeight="false" outlineLevel="0" collapsed="false">
      <c r="A16" s="7" t="s">
        <v>619</v>
      </c>
      <c r="B16" s="7" t="s">
        <v>603</v>
      </c>
      <c r="C16" s="6" t="s">
        <v>12</v>
      </c>
      <c r="D16" s="7" t="s">
        <v>610</v>
      </c>
      <c r="E16" s="7" t="s">
        <v>620</v>
      </c>
      <c r="F16" s="7" t="s">
        <v>621</v>
      </c>
      <c r="G16" s="7" t="s">
        <v>40</v>
      </c>
      <c r="H16" s="7" t="s">
        <v>622</v>
      </c>
    </row>
    <row r="17" customFormat="false" ht="15" hidden="false" customHeight="false" outlineLevel="0" collapsed="false">
      <c r="A17" s="7" t="s">
        <v>623</v>
      </c>
      <c r="B17" s="7" t="s">
        <v>603</v>
      </c>
      <c r="C17" s="6" t="s">
        <v>12</v>
      </c>
      <c r="D17" s="7" t="s">
        <v>624</v>
      </c>
      <c r="E17" s="7" t="s">
        <v>625</v>
      </c>
      <c r="F17" s="7" t="s">
        <v>626</v>
      </c>
      <c r="G17" s="7" t="s">
        <v>627</v>
      </c>
      <c r="H17" s="7" t="s">
        <v>628</v>
      </c>
    </row>
    <row r="18" customFormat="false" ht="23.85" hidden="false" customHeight="false" outlineLevel="0" collapsed="false">
      <c r="A18" s="7" t="s">
        <v>629</v>
      </c>
      <c r="B18" s="7" t="s">
        <v>603</v>
      </c>
      <c r="C18" s="6" t="s">
        <v>12</v>
      </c>
      <c r="D18" s="7" t="s">
        <v>610</v>
      </c>
      <c r="E18" s="7" t="s">
        <v>630</v>
      </c>
      <c r="F18" s="7" t="s">
        <v>631</v>
      </c>
      <c r="G18" s="7" t="s">
        <v>632</v>
      </c>
      <c r="H18" s="7" t="s">
        <v>633</v>
      </c>
    </row>
    <row r="19" customFormat="false" ht="23.85" hidden="false" customHeight="false" outlineLevel="0" collapsed="false">
      <c r="A19" s="7" t="s">
        <v>634</v>
      </c>
      <c r="B19" s="7" t="s">
        <v>635</v>
      </c>
      <c r="C19" s="6" t="s">
        <v>14</v>
      </c>
      <c r="D19" s="7" t="s">
        <v>636</v>
      </c>
      <c r="E19" s="7" t="s">
        <v>637</v>
      </c>
      <c r="F19" s="7" t="s">
        <v>638</v>
      </c>
      <c r="G19" s="7" t="s">
        <v>40</v>
      </c>
      <c r="H19" s="7" t="s">
        <v>639</v>
      </c>
    </row>
    <row r="20" customFormat="false" ht="23.85" hidden="false" customHeight="false" outlineLevel="0" collapsed="false">
      <c r="A20" s="7" t="s">
        <v>640</v>
      </c>
      <c r="B20" s="7" t="s">
        <v>635</v>
      </c>
      <c r="C20" s="6" t="s">
        <v>14</v>
      </c>
      <c r="D20" s="7" t="s">
        <v>641</v>
      </c>
      <c r="E20" s="7" t="s">
        <v>642</v>
      </c>
      <c r="F20" s="7" t="s">
        <v>643</v>
      </c>
      <c r="G20" s="7" t="s">
        <v>40</v>
      </c>
      <c r="H20" s="7" t="s">
        <v>644</v>
      </c>
    </row>
    <row r="21" customFormat="false" ht="23.85" hidden="false" customHeight="false" outlineLevel="0" collapsed="false">
      <c r="A21" s="7" t="s">
        <v>645</v>
      </c>
      <c r="B21" s="7" t="s">
        <v>635</v>
      </c>
      <c r="C21" s="6" t="s">
        <v>14</v>
      </c>
      <c r="D21" s="7" t="s">
        <v>646</v>
      </c>
      <c r="E21" s="7" t="s">
        <v>637</v>
      </c>
      <c r="F21" s="7" t="s">
        <v>647</v>
      </c>
      <c r="G21" s="7" t="s">
        <v>40</v>
      </c>
      <c r="H21" s="7" t="s">
        <v>648</v>
      </c>
    </row>
    <row r="22" customFormat="false" ht="15" hidden="false" customHeight="false" outlineLevel="0" collapsed="false">
      <c r="A22" s="7" t="s">
        <v>649</v>
      </c>
      <c r="B22" s="7" t="s">
        <v>635</v>
      </c>
      <c r="C22" s="6" t="s">
        <v>14</v>
      </c>
      <c r="D22" s="7" t="s">
        <v>563</v>
      </c>
      <c r="E22" s="7" t="s">
        <v>569</v>
      </c>
      <c r="F22" s="7" t="s">
        <v>650</v>
      </c>
      <c r="G22" s="7" t="s">
        <v>651</v>
      </c>
      <c r="H22" s="7" t="s">
        <v>652</v>
      </c>
    </row>
    <row r="23" customFormat="false" ht="15" hidden="false" customHeight="false" outlineLevel="0" collapsed="false">
      <c r="A23" s="7" t="s">
        <v>481</v>
      </c>
      <c r="B23" s="7" t="s">
        <v>635</v>
      </c>
      <c r="C23" s="6" t="s">
        <v>14</v>
      </c>
      <c r="D23" s="7" t="s">
        <v>653</v>
      </c>
      <c r="E23" s="7" t="s">
        <v>654</v>
      </c>
      <c r="F23" s="7" t="s">
        <v>655</v>
      </c>
      <c r="G23" s="7" t="s">
        <v>656</v>
      </c>
      <c r="H23" s="7" t="s">
        <v>657</v>
      </c>
    </row>
    <row r="24" customFormat="false" ht="23.85" hidden="false" customHeight="false" outlineLevel="0" collapsed="false">
      <c r="A24" s="7" t="s">
        <v>658</v>
      </c>
      <c r="B24" s="7" t="s">
        <v>659</v>
      </c>
      <c r="C24" s="6" t="s">
        <v>16</v>
      </c>
      <c r="D24" s="7" t="s">
        <v>660</v>
      </c>
      <c r="E24" s="7" t="s">
        <v>661</v>
      </c>
      <c r="F24" s="7" t="s">
        <v>662</v>
      </c>
      <c r="G24" s="7" t="s">
        <v>663</v>
      </c>
      <c r="H24" s="7" t="s">
        <v>566</v>
      </c>
    </row>
    <row r="25" customFormat="false" ht="15" hidden="false" customHeight="false" outlineLevel="0" collapsed="false">
      <c r="A25" s="7" t="s">
        <v>664</v>
      </c>
      <c r="B25" s="7" t="s">
        <v>659</v>
      </c>
      <c r="C25" s="6" t="s">
        <v>16</v>
      </c>
      <c r="D25" s="7" t="s">
        <v>665</v>
      </c>
      <c r="E25" s="7" t="s">
        <v>40</v>
      </c>
      <c r="F25" s="7" t="s">
        <v>666</v>
      </c>
      <c r="G25" s="7" t="s">
        <v>667</v>
      </c>
      <c r="H25" s="7" t="s">
        <v>668</v>
      </c>
    </row>
    <row r="26" customFormat="false" ht="23.85" hidden="false" customHeight="false" outlineLevel="0" collapsed="false">
      <c r="A26" s="7" t="s">
        <v>669</v>
      </c>
      <c r="B26" s="7" t="s">
        <v>659</v>
      </c>
      <c r="C26" s="6" t="s">
        <v>16</v>
      </c>
      <c r="D26" s="7" t="s">
        <v>670</v>
      </c>
      <c r="E26" s="7" t="s">
        <v>671</v>
      </c>
      <c r="F26" s="7" t="s">
        <v>672</v>
      </c>
      <c r="G26" s="7" t="s">
        <v>673</v>
      </c>
      <c r="H26" s="7" t="s">
        <v>674</v>
      </c>
    </row>
    <row r="27" customFormat="false" ht="15" hidden="false" customHeight="false" outlineLevel="0" collapsed="false">
      <c r="A27" s="7" t="s">
        <v>675</v>
      </c>
      <c r="B27" s="7" t="s">
        <v>260</v>
      </c>
      <c r="C27" s="6" t="s">
        <v>18</v>
      </c>
      <c r="D27" s="7" t="s">
        <v>40</v>
      </c>
      <c r="E27" s="7" t="s">
        <v>40</v>
      </c>
      <c r="F27" s="7" t="s">
        <v>676</v>
      </c>
      <c r="G27" s="7" t="s">
        <v>40</v>
      </c>
      <c r="H27" s="7" t="s">
        <v>677</v>
      </c>
    </row>
  </sheetData>
  <autoFilter ref="A4:H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678</v>
      </c>
      <c r="B1" s="2"/>
      <c r="C1" s="2"/>
      <c r="D1" s="2"/>
    </row>
    <row r="2" customFormat="false" ht="15" hidden="false" customHeight="false" outlineLevel="0" collapsed="false">
      <c r="A2" s="3" t="s">
        <v>679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23.85" hidden="false" customHeight="false" outlineLevel="0" collapsed="false">
      <c r="A4" s="5" t="s">
        <v>680</v>
      </c>
      <c r="B4" s="5" t="s">
        <v>681</v>
      </c>
      <c r="C4" s="5" t="s">
        <v>5</v>
      </c>
      <c r="D4" s="5" t="s">
        <v>682</v>
      </c>
    </row>
    <row r="5" customFormat="false" ht="15" hidden="false" customHeight="false" outlineLevel="0" collapsed="false">
      <c r="A5" s="7" t="s">
        <v>683</v>
      </c>
      <c r="B5" s="7" t="s">
        <v>684</v>
      </c>
      <c r="C5" s="7" t="s">
        <v>685</v>
      </c>
      <c r="D5" s="13" t="s">
        <v>43</v>
      </c>
    </row>
    <row r="6" customFormat="false" ht="15" hidden="false" customHeight="false" outlineLevel="0" collapsed="false">
      <c r="A6" s="7" t="s">
        <v>686</v>
      </c>
      <c r="B6" s="7" t="s">
        <v>687</v>
      </c>
      <c r="C6" s="7" t="s">
        <v>10</v>
      </c>
      <c r="D6" s="13" t="s">
        <v>43</v>
      </c>
    </row>
    <row r="7" customFormat="false" ht="15" hidden="false" customHeight="false" outlineLevel="0" collapsed="false">
      <c r="A7" s="7" t="s">
        <v>688</v>
      </c>
      <c r="B7" s="7" t="s">
        <v>689</v>
      </c>
      <c r="C7" s="7" t="s">
        <v>12</v>
      </c>
      <c r="D7" s="13" t="s">
        <v>43</v>
      </c>
    </row>
    <row r="8" customFormat="false" ht="15" hidden="false" customHeight="false" outlineLevel="0" collapsed="false">
      <c r="A8" s="7" t="s">
        <v>618</v>
      </c>
      <c r="B8" s="7" t="s">
        <v>690</v>
      </c>
      <c r="C8" s="7" t="s">
        <v>691</v>
      </c>
      <c r="D8" s="13" t="s">
        <v>43</v>
      </c>
    </row>
    <row r="9" customFormat="false" ht="15" hidden="false" customHeight="false" outlineLevel="0" collapsed="false">
      <c r="A9" s="7" t="s">
        <v>692</v>
      </c>
      <c r="B9" s="7" t="s">
        <v>693</v>
      </c>
      <c r="C9" s="7" t="s">
        <v>694</v>
      </c>
      <c r="D9" s="13" t="s">
        <v>43</v>
      </c>
    </row>
    <row r="10" customFormat="false" ht="23.85" hidden="false" customHeight="false" outlineLevel="0" collapsed="false">
      <c r="A10" s="7" t="s">
        <v>695</v>
      </c>
      <c r="B10" s="7" t="s">
        <v>696</v>
      </c>
      <c r="C10" s="7" t="s">
        <v>697</v>
      </c>
      <c r="D10" s="13" t="s">
        <v>43</v>
      </c>
    </row>
    <row r="11" customFormat="false" ht="15" hidden="false" customHeight="false" outlineLevel="0" collapsed="false">
      <c r="A11" s="7" t="s">
        <v>698</v>
      </c>
      <c r="B11" s="7" t="s">
        <v>699</v>
      </c>
      <c r="C11" s="7" t="s">
        <v>12</v>
      </c>
      <c r="D11" s="13" t="s">
        <v>43</v>
      </c>
    </row>
    <row r="12" customFormat="false" ht="15" hidden="false" customHeight="false" outlineLevel="0" collapsed="false">
      <c r="A12" s="7" t="s">
        <v>700</v>
      </c>
      <c r="B12" s="7" t="s">
        <v>701</v>
      </c>
      <c r="C12" s="7" t="s">
        <v>10</v>
      </c>
      <c r="D12" s="13" t="s">
        <v>43</v>
      </c>
    </row>
    <row r="13" customFormat="false" ht="15" hidden="false" customHeight="false" outlineLevel="0" collapsed="false">
      <c r="A13" s="7" t="s">
        <v>702</v>
      </c>
      <c r="B13" s="7" t="s">
        <v>703</v>
      </c>
      <c r="C13" s="7" t="s">
        <v>14</v>
      </c>
      <c r="D13" s="13" t="s">
        <v>43</v>
      </c>
    </row>
    <row r="14" customFormat="false" ht="15" hidden="false" customHeight="false" outlineLevel="0" collapsed="false">
      <c r="A14" s="7" t="s">
        <v>704</v>
      </c>
      <c r="B14" s="7" t="s">
        <v>705</v>
      </c>
      <c r="C14" s="7" t="s">
        <v>12</v>
      </c>
      <c r="D14" s="13" t="s">
        <v>43</v>
      </c>
    </row>
    <row r="15" customFormat="false" ht="15" hidden="false" customHeight="false" outlineLevel="0" collapsed="false">
      <c r="A15" s="7" t="s">
        <v>706</v>
      </c>
      <c r="B15" s="7" t="s">
        <v>707</v>
      </c>
      <c r="C15" s="7" t="s">
        <v>14</v>
      </c>
      <c r="D15" s="13" t="s">
        <v>43</v>
      </c>
    </row>
    <row r="16" customFormat="false" ht="15" hidden="false" customHeight="false" outlineLevel="0" collapsed="false">
      <c r="A16" s="7" t="s">
        <v>708</v>
      </c>
      <c r="B16" s="7" t="s">
        <v>709</v>
      </c>
      <c r="C16" s="7" t="s">
        <v>12</v>
      </c>
      <c r="D16" s="13" t="s">
        <v>43</v>
      </c>
    </row>
    <row r="17" customFormat="false" ht="15" hidden="false" customHeight="false" outlineLevel="0" collapsed="false">
      <c r="A17" s="7" t="s">
        <v>674</v>
      </c>
      <c r="B17" s="7" t="s">
        <v>710</v>
      </c>
      <c r="C17" s="7" t="s">
        <v>16</v>
      </c>
      <c r="D17" s="13" t="s">
        <v>43</v>
      </c>
    </row>
    <row r="18" customFormat="false" ht="15" hidden="false" customHeight="false" outlineLevel="0" collapsed="false">
      <c r="A18" s="7" t="s">
        <v>711</v>
      </c>
      <c r="B18" s="7" t="s">
        <v>712</v>
      </c>
      <c r="C18" s="7" t="s">
        <v>14</v>
      </c>
      <c r="D18" s="13" t="s">
        <v>43</v>
      </c>
    </row>
  </sheetData>
  <autoFilter ref="A4:D18"/>
  <conditionalFormatting sqref="D5:D18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D5:D18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713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714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.85" hidden="false" customHeight="false" outlineLevel="0" collapsed="false">
      <c r="A4" s="5" t="s">
        <v>393</v>
      </c>
      <c r="B4" s="5" t="s">
        <v>715</v>
      </c>
      <c r="C4" s="5" t="s">
        <v>716</v>
      </c>
      <c r="D4" s="5" t="s">
        <v>717</v>
      </c>
      <c r="E4" s="5" t="s">
        <v>718</v>
      </c>
      <c r="F4" s="5" t="s">
        <v>719</v>
      </c>
      <c r="G4" s="5" t="s">
        <v>720</v>
      </c>
      <c r="H4" s="5" t="s">
        <v>721</v>
      </c>
    </row>
    <row r="5" customFormat="false" ht="15" hidden="false" customHeight="false" outlineLevel="0" collapsed="false">
      <c r="A5" s="6" t="s">
        <v>722</v>
      </c>
      <c r="B5" s="7" t="s">
        <v>723</v>
      </c>
      <c r="C5" s="15" t="n">
        <v>14</v>
      </c>
      <c r="D5" s="15" t="n">
        <v>15</v>
      </c>
      <c r="E5" s="6" t="n">
        <f aca="false">D5*12</f>
        <v>180</v>
      </c>
      <c r="F5" s="16" t="n">
        <v>100000</v>
      </c>
      <c r="G5" s="16" t="n">
        <v>10000</v>
      </c>
      <c r="H5" s="17" t="n">
        <f aca="false">F5+G5*3</f>
        <v>130000</v>
      </c>
    </row>
    <row r="6" customFormat="false" ht="15" hidden="false" customHeight="false" outlineLevel="0" collapsed="false">
      <c r="A6" s="6" t="s">
        <v>724</v>
      </c>
      <c r="B6" s="7" t="s">
        <v>725</v>
      </c>
      <c r="C6" s="15" t="n">
        <v>7</v>
      </c>
      <c r="D6" s="15" t="n">
        <v>10</v>
      </c>
      <c r="E6" s="6" t="n">
        <f aca="false">D6*12</f>
        <v>120</v>
      </c>
      <c r="F6" s="16" t="n">
        <v>200000</v>
      </c>
      <c r="G6" s="16" t="n">
        <v>30000</v>
      </c>
      <c r="H6" s="17" t="n">
        <f aca="false">F6+G6*3</f>
        <v>290000</v>
      </c>
    </row>
    <row r="7" customFormat="false" ht="15" hidden="false" customHeight="false" outlineLevel="0" collapsed="false">
      <c r="A7" s="6" t="s">
        <v>726</v>
      </c>
      <c r="B7" s="7" t="s">
        <v>727</v>
      </c>
      <c r="C7" s="15" t="n">
        <v>30</v>
      </c>
      <c r="D7" s="15" t="n">
        <v>8</v>
      </c>
      <c r="E7" s="6" t="n">
        <f aca="false">D7*12</f>
        <v>96</v>
      </c>
      <c r="F7" s="16" t="n">
        <v>150000</v>
      </c>
      <c r="G7" s="16" t="n">
        <v>20000</v>
      </c>
      <c r="H7" s="17" t="n">
        <f aca="false">F7+G7*3</f>
        <v>210000</v>
      </c>
    </row>
    <row r="8" customFormat="false" ht="15" hidden="false" customHeight="false" outlineLevel="0" collapsed="false">
      <c r="A8" s="6" t="s">
        <v>728</v>
      </c>
      <c r="B8" s="7" t="s">
        <v>729</v>
      </c>
      <c r="C8" s="15" t="n">
        <v>14</v>
      </c>
      <c r="D8" s="15" t="n">
        <v>12</v>
      </c>
      <c r="E8" s="6" t="n">
        <f aca="false">D8*12</f>
        <v>144</v>
      </c>
      <c r="F8" s="16" t="n">
        <v>120000</v>
      </c>
      <c r="G8" s="16" t="n">
        <v>15000</v>
      </c>
      <c r="H8" s="17" t="n">
        <f aca="false">F8+G8*3</f>
        <v>165000</v>
      </c>
    </row>
    <row r="9" customFormat="false" ht="15" hidden="false" customHeight="false" outlineLevel="0" collapsed="false">
      <c r="A9" s="6" t="s">
        <v>730</v>
      </c>
      <c r="B9" s="7" t="s">
        <v>731</v>
      </c>
      <c r="C9" s="15" t="n">
        <v>21</v>
      </c>
      <c r="D9" s="15" t="n">
        <v>12</v>
      </c>
      <c r="E9" s="6" t="n">
        <f aca="false">D9*12</f>
        <v>144</v>
      </c>
      <c r="F9" s="16" t="n">
        <v>200000</v>
      </c>
      <c r="G9" s="16" t="n">
        <v>30000</v>
      </c>
      <c r="H9" s="17" t="n">
        <f aca="false">F9+G9*3</f>
        <v>290000</v>
      </c>
    </row>
    <row r="10" customFormat="false" ht="15" hidden="false" customHeight="false" outlineLevel="0" collapsed="false">
      <c r="A10" s="6" t="s">
        <v>732</v>
      </c>
      <c r="B10" s="7" t="s">
        <v>733</v>
      </c>
      <c r="C10" s="15" t="n">
        <v>7</v>
      </c>
      <c r="D10" s="15" t="n">
        <v>3</v>
      </c>
      <c r="E10" s="6" t="n">
        <f aca="false">D10*12</f>
        <v>36</v>
      </c>
      <c r="F10" s="16" t="n">
        <v>50000</v>
      </c>
      <c r="G10" s="16" t="n">
        <v>5000</v>
      </c>
      <c r="H10" s="17" t="n">
        <f aca="false">F10+G10*3</f>
        <v>65000</v>
      </c>
    </row>
    <row r="11" customFormat="false" ht="15" hidden="false" customHeight="false" outlineLevel="0" collapsed="false">
      <c r="A11" s="3" t="s">
        <v>734</v>
      </c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4" t="s">
        <v>659</v>
      </c>
      <c r="B13" s="2"/>
      <c r="C13" s="2"/>
      <c r="D13" s="2"/>
      <c r="E13" s="2"/>
      <c r="F13" s="2"/>
      <c r="G13" s="2"/>
      <c r="H13" s="2"/>
    </row>
    <row r="14" customFormat="false" ht="23.85" hidden="false" customHeight="false" outlineLevel="0" collapsed="false">
      <c r="A14" s="5" t="s">
        <v>735</v>
      </c>
      <c r="B14" s="5" t="s">
        <v>736</v>
      </c>
      <c r="C14" s="5" t="s">
        <v>737</v>
      </c>
      <c r="D14" s="5" t="s">
        <v>738</v>
      </c>
      <c r="E14" s="5" t="s">
        <v>739</v>
      </c>
      <c r="F14" s="5" t="s">
        <v>740</v>
      </c>
      <c r="G14" s="5" t="s">
        <v>741</v>
      </c>
      <c r="H14" s="2"/>
    </row>
    <row r="15" customFormat="false" ht="23.85" hidden="false" customHeight="false" outlineLevel="0" collapsed="false">
      <c r="A15" s="6" t="s">
        <v>742</v>
      </c>
      <c r="B15" s="6" t="n">
        <v>5</v>
      </c>
      <c r="C15" s="6" t="s">
        <v>743</v>
      </c>
      <c r="D15" s="18" t="n">
        <v>50000</v>
      </c>
      <c r="E15" s="6" t="n">
        <v>1</v>
      </c>
      <c r="F15" s="6" t="n">
        <v>4</v>
      </c>
      <c r="G15" s="18" t="n">
        <f aca="false">D15*F15</f>
        <v>200000</v>
      </c>
      <c r="H15" s="2"/>
    </row>
    <row r="16" customFormat="false" ht="23.85" hidden="false" customHeight="false" outlineLevel="0" collapsed="false">
      <c r="A16" s="6" t="s">
        <v>744</v>
      </c>
      <c r="B16" s="6" t="n">
        <v>2</v>
      </c>
      <c r="C16" s="6" t="s">
        <v>745</v>
      </c>
      <c r="D16" s="18" t="n">
        <v>300000</v>
      </c>
      <c r="E16" s="6" t="n">
        <v>2</v>
      </c>
      <c r="F16" s="6" t="n">
        <v>8</v>
      </c>
      <c r="G16" s="18" t="n">
        <f aca="false">D16*F16</f>
        <v>2400000</v>
      </c>
      <c r="H16" s="2"/>
    </row>
    <row r="17" customFormat="false" ht="15" hidden="false" customHeight="false" outlineLevel="0" collapsed="false">
      <c r="A17" s="4" t="s">
        <v>746</v>
      </c>
      <c r="B17" s="2"/>
      <c r="C17" s="2"/>
      <c r="D17" s="4" t="n">
        <f aca="false">(B15+B16)*3</f>
        <v>21</v>
      </c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9" t="s">
        <v>747</v>
      </c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4" t="s">
        <v>748</v>
      </c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4" t="s">
        <v>749</v>
      </c>
      <c r="B22" s="9" t="s">
        <v>750</v>
      </c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4" t="s">
        <v>751</v>
      </c>
      <c r="B23" s="9" t="s">
        <v>752</v>
      </c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4" t="s">
        <v>753</v>
      </c>
      <c r="B24" s="9" t="s">
        <v>754</v>
      </c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4" t="s">
        <v>755</v>
      </c>
      <c r="B25" s="9" t="s">
        <v>756</v>
      </c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4" t="s">
        <v>757</v>
      </c>
      <c r="B26" s="9" t="s">
        <v>758</v>
      </c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4" t="s">
        <v>759</v>
      </c>
      <c r="B27" s="9" t="s">
        <v>760</v>
      </c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4" t="s">
        <v>340</v>
      </c>
      <c r="B28" s="9" t="s">
        <v>761</v>
      </c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4" t="s">
        <v>762</v>
      </c>
      <c r="B29" s="9" t="s">
        <v>763</v>
      </c>
      <c r="C29" s="2"/>
      <c r="D29" s="2"/>
      <c r="E29" s="2"/>
      <c r="F29" s="2"/>
      <c r="G29" s="2"/>
      <c r="H29" s="2"/>
    </row>
  </sheetData>
  <autoFilter ref="A4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66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764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765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5" t="s">
        <v>766</v>
      </c>
      <c r="B4" s="5" t="s">
        <v>394</v>
      </c>
      <c r="C4" s="5" t="s">
        <v>767</v>
      </c>
      <c r="D4" s="5" t="s">
        <v>768</v>
      </c>
      <c r="E4" s="5" t="s">
        <v>32</v>
      </c>
    </row>
    <row r="5" customFormat="false" ht="15" hidden="false" customHeight="false" outlineLevel="0" collapsed="false">
      <c r="A5" s="11" t="n">
        <v>46310</v>
      </c>
      <c r="B5" s="6" t="s">
        <v>769</v>
      </c>
      <c r="C5" s="7" t="s">
        <v>770</v>
      </c>
      <c r="D5" s="6" t="s">
        <v>10</v>
      </c>
      <c r="E5" s="13" t="s">
        <v>43</v>
      </c>
    </row>
    <row r="6" customFormat="false" ht="15" hidden="false" customHeight="false" outlineLevel="0" collapsed="false">
      <c r="A6" s="11" t="n">
        <v>46313</v>
      </c>
      <c r="B6" s="6" t="s">
        <v>769</v>
      </c>
      <c r="C6" s="7" t="s">
        <v>771</v>
      </c>
      <c r="D6" s="6" t="s">
        <v>37</v>
      </c>
      <c r="E6" s="13" t="s">
        <v>43</v>
      </c>
    </row>
    <row r="7" customFormat="false" ht="15" hidden="false" customHeight="false" outlineLevel="0" collapsed="false">
      <c r="A7" s="11" t="n">
        <v>46314</v>
      </c>
      <c r="B7" s="6" t="s">
        <v>772</v>
      </c>
      <c r="C7" s="7" t="s">
        <v>773</v>
      </c>
      <c r="D7" s="6" t="s">
        <v>37</v>
      </c>
      <c r="E7" s="13" t="s">
        <v>43</v>
      </c>
    </row>
    <row r="8" customFormat="false" ht="15" hidden="false" customHeight="false" outlineLevel="0" collapsed="false">
      <c r="A8" s="11" t="n">
        <v>46321</v>
      </c>
      <c r="B8" s="6" t="s">
        <v>769</v>
      </c>
      <c r="C8" s="7" t="s">
        <v>774</v>
      </c>
      <c r="D8" s="6" t="s">
        <v>775</v>
      </c>
      <c r="E8" s="13" t="s">
        <v>43</v>
      </c>
    </row>
    <row r="9" customFormat="false" ht="15" hidden="false" customHeight="false" outlineLevel="0" collapsed="false">
      <c r="A9" s="11" t="n">
        <v>46328</v>
      </c>
      <c r="B9" s="6" t="s">
        <v>769</v>
      </c>
      <c r="C9" s="7" t="s">
        <v>776</v>
      </c>
      <c r="D9" s="6" t="s">
        <v>775</v>
      </c>
      <c r="E9" s="13" t="s">
        <v>43</v>
      </c>
    </row>
    <row r="10" customFormat="false" ht="15" hidden="false" customHeight="false" outlineLevel="0" collapsed="false">
      <c r="A10" s="11" t="n">
        <v>46335</v>
      </c>
      <c r="B10" s="6" t="s">
        <v>769</v>
      </c>
      <c r="C10" s="7" t="s">
        <v>777</v>
      </c>
      <c r="D10" s="6" t="s">
        <v>37</v>
      </c>
      <c r="E10" s="13" t="s">
        <v>43</v>
      </c>
    </row>
    <row r="11" customFormat="false" ht="15" hidden="false" customHeight="false" outlineLevel="0" collapsed="false">
      <c r="A11" s="11" t="n">
        <v>46339</v>
      </c>
      <c r="B11" s="6" t="s">
        <v>769</v>
      </c>
      <c r="C11" s="7" t="s">
        <v>778</v>
      </c>
      <c r="D11" s="6" t="s">
        <v>779</v>
      </c>
      <c r="E11" s="13" t="s">
        <v>43</v>
      </c>
    </row>
    <row r="12" customFormat="false" ht="15" hidden="false" customHeight="false" outlineLevel="0" collapsed="false">
      <c r="A12" s="11" t="n">
        <v>46342</v>
      </c>
      <c r="B12" s="6" t="s">
        <v>780</v>
      </c>
      <c r="C12" s="7" t="s">
        <v>781</v>
      </c>
      <c r="D12" s="6" t="s">
        <v>37</v>
      </c>
      <c r="E12" s="13" t="s">
        <v>43</v>
      </c>
    </row>
    <row r="13" customFormat="false" ht="15" hidden="false" customHeight="false" outlineLevel="0" collapsed="false">
      <c r="A13" s="11" t="n">
        <v>46346</v>
      </c>
      <c r="B13" s="6" t="s">
        <v>782</v>
      </c>
      <c r="C13" s="7" t="s">
        <v>783</v>
      </c>
      <c r="D13" s="6" t="s">
        <v>10</v>
      </c>
      <c r="E13" s="13" t="s">
        <v>43</v>
      </c>
    </row>
    <row r="14" customFormat="false" ht="15" hidden="false" customHeight="false" outlineLevel="0" collapsed="false">
      <c r="A14" s="11" t="n">
        <v>46348</v>
      </c>
      <c r="B14" s="6" t="s">
        <v>784</v>
      </c>
      <c r="C14" s="7" t="s">
        <v>785</v>
      </c>
      <c r="D14" s="6" t="s">
        <v>40</v>
      </c>
      <c r="E14" s="13" t="s">
        <v>43</v>
      </c>
    </row>
    <row r="15" customFormat="false" ht="15" hidden="false" customHeight="false" outlineLevel="0" collapsed="false">
      <c r="A15" s="6"/>
      <c r="B15" s="6" t="s">
        <v>786</v>
      </c>
      <c r="C15" s="7" t="s">
        <v>787</v>
      </c>
      <c r="D15" s="6" t="s">
        <v>37</v>
      </c>
      <c r="E15" s="13" t="s">
        <v>43</v>
      </c>
    </row>
  </sheetData>
  <autoFilter ref="A4:D15"/>
  <conditionalFormatting sqref="E5:E15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E5:E15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788</v>
      </c>
      <c r="B1" s="2"/>
      <c r="C1" s="2"/>
    </row>
    <row r="2" customFormat="false" ht="15" hidden="false" customHeight="false" outlineLevel="0" collapsed="false">
      <c r="A2" s="3" t="s">
        <v>789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5" t="s">
        <v>790</v>
      </c>
      <c r="B4" s="5" t="s">
        <v>791</v>
      </c>
      <c r="C4" s="5" t="s">
        <v>792</v>
      </c>
    </row>
    <row r="5" customFormat="false" ht="15" hidden="false" customHeight="false" outlineLevel="0" collapsed="false">
      <c r="A5" s="7" t="s">
        <v>793</v>
      </c>
      <c r="B5" s="7" t="s">
        <v>554</v>
      </c>
      <c r="C5" s="7" t="s">
        <v>794</v>
      </c>
    </row>
    <row r="6" customFormat="false" ht="15" hidden="false" customHeight="false" outlineLevel="0" collapsed="false">
      <c r="A6" s="7" t="s">
        <v>793</v>
      </c>
      <c r="B6" s="7" t="s">
        <v>795</v>
      </c>
      <c r="C6" s="7" t="s">
        <v>796</v>
      </c>
    </row>
    <row r="7" customFormat="false" ht="15" hidden="false" customHeight="false" outlineLevel="0" collapsed="false">
      <c r="A7" s="7" t="s">
        <v>793</v>
      </c>
      <c r="B7" s="7" t="s">
        <v>797</v>
      </c>
      <c r="C7" s="7" t="s">
        <v>798</v>
      </c>
    </row>
    <row r="8" customFormat="false" ht="15" hidden="false" customHeight="false" outlineLevel="0" collapsed="false">
      <c r="A8" s="7" t="s">
        <v>793</v>
      </c>
      <c r="B8" s="7" t="s">
        <v>799</v>
      </c>
      <c r="C8" s="7" t="s">
        <v>800</v>
      </c>
    </row>
    <row r="9" customFormat="false" ht="15" hidden="false" customHeight="false" outlineLevel="0" collapsed="false">
      <c r="A9" s="7" t="s">
        <v>793</v>
      </c>
      <c r="B9" s="7" t="s">
        <v>801</v>
      </c>
      <c r="C9" s="7" t="s">
        <v>802</v>
      </c>
    </row>
    <row r="10" customFormat="false" ht="23.85" hidden="false" customHeight="false" outlineLevel="0" collapsed="false">
      <c r="A10" s="7" t="s">
        <v>803</v>
      </c>
      <c r="B10" s="7" t="s">
        <v>399</v>
      </c>
      <c r="C10" s="7" t="s">
        <v>804</v>
      </c>
    </row>
    <row r="11" customFormat="false" ht="15" hidden="false" customHeight="false" outlineLevel="0" collapsed="false">
      <c r="A11" s="7" t="s">
        <v>805</v>
      </c>
      <c r="B11" s="7" t="s">
        <v>806</v>
      </c>
      <c r="C11" s="7" t="s">
        <v>807</v>
      </c>
    </row>
    <row r="12" customFormat="false" ht="23.85" hidden="false" customHeight="false" outlineLevel="0" collapsed="false">
      <c r="A12" s="7" t="s">
        <v>805</v>
      </c>
      <c r="B12" s="7" t="s">
        <v>808</v>
      </c>
      <c r="C12" s="7" t="s">
        <v>809</v>
      </c>
    </row>
    <row r="13" customFormat="false" ht="15" hidden="false" customHeight="false" outlineLevel="0" collapsed="false">
      <c r="A13" s="7" t="s">
        <v>805</v>
      </c>
      <c r="B13" s="7" t="s">
        <v>810</v>
      </c>
      <c r="C13" s="7" t="s">
        <v>811</v>
      </c>
    </row>
    <row r="14" customFormat="false" ht="15" hidden="false" customHeight="false" outlineLevel="0" collapsed="false">
      <c r="A14" s="7" t="s">
        <v>805</v>
      </c>
      <c r="B14" s="7" t="s">
        <v>812</v>
      </c>
      <c r="C14" s="7" t="s">
        <v>813</v>
      </c>
    </row>
    <row r="15" customFormat="false" ht="15" hidden="false" customHeight="false" outlineLevel="0" collapsed="false">
      <c r="A15" s="7" t="s">
        <v>805</v>
      </c>
      <c r="B15" s="7" t="s">
        <v>814</v>
      </c>
      <c r="C15" s="7" t="s">
        <v>815</v>
      </c>
    </row>
    <row r="16" customFormat="false" ht="15" hidden="false" customHeight="false" outlineLevel="0" collapsed="false">
      <c r="A16" s="7" t="s">
        <v>805</v>
      </c>
      <c r="B16" s="7" t="s">
        <v>816</v>
      </c>
      <c r="C16" s="7" t="s">
        <v>817</v>
      </c>
    </row>
    <row r="17" customFormat="false" ht="15" hidden="false" customHeight="false" outlineLevel="0" collapsed="false">
      <c r="A17" s="7" t="s">
        <v>805</v>
      </c>
      <c r="B17" s="7" t="s">
        <v>818</v>
      </c>
      <c r="C17" s="7" t="s">
        <v>819</v>
      </c>
    </row>
    <row r="18" customFormat="false" ht="15" hidden="false" customHeight="false" outlineLevel="0" collapsed="false">
      <c r="A18" s="7" t="s">
        <v>805</v>
      </c>
      <c r="B18" s="7" t="s">
        <v>820</v>
      </c>
      <c r="C18" s="7" t="s">
        <v>821</v>
      </c>
    </row>
    <row r="19" customFormat="false" ht="15" hidden="false" customHeight="false" outlineLevel="0" collapsed="false">
      <c r="A19" s="7" t="s">
        <v>805</v>
      </c>
      <c r="B19" s="7" t="s">
        <v>822</v>
      </c>
      <c r="C19" s="7" t="s">
        <v>823</v>
      </c>
    </row>
    <row r="20" customFormat="false" ht="15" hidden="false" customHeight="false" outlineLevel="0" collapsed="false">
      <c r="A20" s="7" t="s">
        <v>824</v>
      </c>
      <c r="B20" s="7" t="s">
        <v>825</v>
      </c>
      <c r="C20" s="7" t="s">
        <v>826</v>
      </c>
    </row>
    <row r="21" customFormat="false" ht="15" hidden="false" customHeight="false" outlineLevel="0" collapsed="false">
      <c r="A21" s="7" t="s">
        <v>824</v>
      </c>
      <c r="B21" s="7" t="s">
        <v>827</v>
      </c>
      <c r="C21" s="7" t="s">
        <v>828</v>
      </c>
    </row>
    <row r="22" customFormat="false" ht="15" hidden="false" customHeight="false" outlineLevel="0" collapsed="false">
      <c r="A22" s="7" t="s">
        <v>824</v>
      </c>
      <c r="B22" s="7" t="s">
        <v>829</v>
      </c>
      <c r="C22" s="7" t="s">
        <v>830</v>
      </c>
    </row>
    <row r="23" customFormat="false" ht="15" hidden="false" customHeight="false" outlineLevel="0" collapsed="false">
      <c r="A23" s="7" t="s">
        <v>831</v>
      </c>
      <c r="B23" s="7" t="s">
        <v>832</v>
      </c>
      <c r="C23" s="7" t="s">
        <v>833</v>
      </c>
    </row>
    <row r="24" customFormat="false" ht="23.85" hidden="false" customHeight="false" outlineLevel="0" collapsed="false">
      <c r="A24" s="7" t="s">
        <v>831</v>
      </c>
      <c r="B24" s="7" t="s">
        <v>834</v>
      </c>
      <c r="C24" s="7" t="s">
        <v>835</v>
      </c>
    </row>
    <row r="25" customFormat="false" ht="15" hidden="false" customHeight="false" outlineLevel="0" collapsed="false">
      <c r="A25" s="7" t="s">
        <v>831</v>
      </c>
      <c r="B25" s="7" t="s">
        <v>836</v>
      </c>
      <c r="C25" s="7" t="s">
        <v>837</v>
      </c>
    </row>
    <row r="26" customFormat="false" ht="15" hidden="false" customHeight="false" outlineLevel="0" collapsed="false">
      <c r="A26" s="7" t="s">
        <v>831</v>
      </c>
      <c r="B26" s="7" t="s">
        <v>838</v>
      </c>
      <c r="C26" s="7" t="s">
        <v>839</v>
      </c>
    </row>
    <row r="27" customFormat="false" ht="15" hidden="false" customHeight="false" outlineLevel="0" collapsed="false">
      <c r="A27" s="7" t="s">
        <v>840</v>
      </c>
      <c r="B27" s="7" t="s">
        <v>841</v>
      </c>
      <c r="C27" s="7" t="s">
        <v>842</v>
      </c>
    </row>
    <row r="28" customFormat="false" ht="15" hidden="false" customHeight="false" outlineLevel="0" collapsed="false">
      <c r="A28" s="7" t="s">
        <v>840</v>
      </c>
      <c r="B28" s="7" t="s">
        <v>748</v>
      </c>
      <c r="C28" s="7" t="s">
        <v>843</v>
      </c>
    </row>
  </sheetData>
  <autoFilter ref="A4:C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0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844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845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5" t="s">
        <v>791</v>
      </c>
      <c r="B4" s="5" t="s">
        <v>767</v>
      </c>
      <c r="C4" s="5" t="s">
        <v>846</v>
      </c>
      <c r="D4" s="5" t="s">
        <v>33</v>
      </c>
      <c r="E4" s="5" t="s">
        <v>28</v>
      </c>
      <c r="F4" s="5" t="s">
        <v>32</v>
      </c>
    </row>
    <row r="5" customFormat="false" ht="15" hidden="false" customHeight="false" outlineLevel="0" collapsed="false">
      <c r="A5" s="6" t="s">
        <v>847</v>
      </c>
      <c r="B5" s="7" t="s">
        <v>848</v>
      </c>
      <c r="C5" s="7" t="s">
        <v>10</v>
      </c>
      <c r="D5" s="7" t="s">
        <v>849</v>
      </c>
      <c r="E5" s="11" t="n">
        <v>46342</v>
      </c>
      <c r="F5" s="13" t="s">
        <v>43</v>
      </c>
    </row>
    <row r="6" customFormat="false" ht="23.85" hidden="false" customHeight="false" outlineLevel="0" collapsed="false">
      <c r="A6" s="6" t="s">
        <v>850</v>
      </c>
      <c r="B6" s="7" t="s">
        <v>851</v>
      </c>
      <c r="C6" s="7" t="s">
        <v>852</v>
      </c>
      <c r="D6" s="7" t="s">
        <v>40</v>
      </c>
      <c r="E6" s="11" t="n">
        <v>46342</v>
      </c>
      <c r="F6" s="13" t="s">
        <v>43</v>
      </c>
    </row>
    <row r="7" customFormat="false" ht="15" hidden="false" customHeight="false" outlineLevel="0" collapsed="false">
      <c r="A7" s="6" t="s">
        <v>853</v>
      </c>
      <c r="B7" s="7" t="s">
        <v>854</v>
      </c>
      <c r="C7" s="7" t="s">
        <v>855</v>
      </c>
      <c r="D7" s="7" t="s">
        <v>40</v>
      </c>
      <c r="E7" s="11" t="n">
        <v>46342</v>
      </c>
      <c r="F7" s="13" t="s">
        <v>43</v>
      </c>
    </row>
    <row r="8" customFormat="false" ht="23.85" hidden="false" customHeight="false" outlineLevel="0" collapsed="false">
      <c r="A8" s="6" t="s">
        <v>856</v>
      </c>
      <c r="B8" s="7" t="s">
        <v>857</v>
      </c>
      <c r="C8" s="7" t="s">
        <v>858</v>
      </c>
      <c r="D8" s="7" t="s">
        <v>859</v>
      </c>
      <c r="E8" s="11" t="n">
        <v>46342</v>
      </c>
      <c r="F8" s="13" t="s">
        <v>43</v>
      </c>
    </row>
    <row r="9" customFormat="false" ht="15" hidden="false" customHeight="false" outlineLevel="0" collapsed="false">
      <c r="A9" s="6" t="s">
        <v>860</v>
      </c>
      <c r="B9" s="7" t="s">
        <v>861</v>
      </c>
      <c r="C9" s="7" t="s">
        <v>16</v>
      </c>
      <c r="D9" s="7" t="s">
        <v>40</v>
      </c>
      <c r="E9" s="11" t="n">
        <v>46342</v>
      </c>
      <c r="F9" s="13" t="s">
        <v>43</v>
      </c>
    </row>
    <row r="10" customFormat="false" ht="15" hidden="false" customHeight="false" outlineLevel="0" collapsed="false">
      <c r="A10" s="6" t="s">
        <v>40</v>
      </c>
      <c r="B10" s="7" t="s">
        <v>862</v>
      </c>
      <c r="C10" s="7" t="s">
        <v>10</v>
      </c>
      <c r="D10" s="7" t="s">
        <v>863</v>
      </c>
      <c r="E10" s="11" t="n">
        <v>46346</v>
      </c>
      <c r="F10" s="13" t="s">
        <v>43</v>
      </c>
    </row>
  </sheetData>
  <autoFilter ref="A4:F10"/>
  <conditionalFormatting sqref="F5:F10">
    <cfRule type="cellIs" priority="2" operator="equal" aboveAverage="0" equalAverage="0" bottom="0" percent="0" rank="0" text="" dxfId="6">
      <formula>"Hoàn thành"</formula>
    </cfRule>
    <cfRule type="cellIs" priority="3" operator="equal" aboveAverage="0" equalAverage="0" bottom="0" percent="0" rank="0" text="" dxfId="7">
      <formula>"Đang làm"</formula>
    </cfRule>
    <cfRule type="cellIs" priority="4" operator="equal" aboveAverage="0" equalAverage="0" bottom="0" percent="0" rank="0" text="" dxfId="8">
      <formula>"Chờ review"</formula>
    </cfRule>
  </conditionalFormatting>
  <dataValidations count="1">
    <dataValidation allowBlank="true" errorStyle="stop" operator="between" showDropDown="false" showErrorMessage="false" showInputMessage="false" sqref="F5:F10" type="list">
      <formula1>"Chưa bắt đầu,Đang làm,Chờ review,Hoàn thành"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864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865</v>
      </c>
      <c r="B2" s="2"/>
      <c r="C2" s="2"/>
      <c r="D2" s="2"/>
      <c r="E2" s="2"/>
    </row>
    <row r="3" customFormat="false" ht="15" hidden="false" customHeight="false" outlineLevel="0" collapsed="false">
      <c r="A3" s="5" t="s">
        <v>3</v>
      </c>
      <c r="B3" s="5" t="s">
        <v>4</v>
      </c>
      <c r="C3" s="5" t="s">
        <v>866</v>
      </c>
      <c r="D3" s="5" t="s">
        <v>867</v>
      </c>
      <c r="E3" s="5" t="s">
        <v>868</v>
      </c>
    </row>
    <row r="4" customFormat="false" ht="15" hidden="false" customHeight="false" outlineLevel="0" collapsed="false">
      <c r="A4" s="6" t="s">
        <v>10</v>
      </c>
      <c r="B4" s="13"/>
      <c r="C4" s="7" t="s">
        <v>869</v>
      </c>
      <c r="D4" s="6" t="s">
        <v>14</v>
      </c>
      <c r="E4" s="13"/>
    </row>
    <row r="5" customFormat="false" ht="15" hidden="false" customHeight="false" outlineLevel="0" collapsed="false">
      <c r="A5" s="6" t="s">
        <v>12</v>
      </c>
      <c r="B5" s="13"/>
      <c r="C5" s="7" t="s">
        <v>870</v>
      </c>
      <c r="D5" s="6" t="s">
        <v>16</v>
      </c>
      <c r="E5" s="13"/>
    </row>
    <row r="6" customFormat="false" ht="15" hidden="false" customHeight="false" outlineLevel="0" collapsed="false">
      <c r="A6" s="6" t="s">
        <v>14</v>
      </c>
      <c r="B6" s="13"/>
      <c r="C6" s="7" t="s">
        <v>15</v>
      </c>
      <c r="D6" s="6" t="s">
        <v>10</v>
      </c>
      <c r="E6" s="13"/>
    </row>
    <row r="7" customFormat="false" ht="15" hidden="false" customHeight="false" outlineLevel="0" collapsed="false">
      <c r="A7" s="6" t="s">
        <v>16</v>
      </c>
      <c r="B7" s="13"/>
      <c r="C7" s="7" t="s">
        <v>17</v>
      </c>
      <c r="D7" s="6" t="s">
        <v>18</v>
      </c>
      <c r="E7" s="13"/>
    </row>
    <row r="8" customFormat="false" ht="15" hidden="false" customHeight="false" outlineLevel="0" collapsed="false">
      <c r="A8" s="6" t="s">
        <v>18</v>
      </c>
      <c r="B8" s="13"/>
      <c r="C8" s="7" t="s">
        <v>871</v>
      </c>
      <c r="D8" s="6" t="s">
        <v>12</v>
      </c>
      <c r="E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2026-10-13T10:52:15Z</dcterms:created>
  <dc:creator>openpyxl</dc:creator>
  <dc:description/>
  <dc:language>en-US</dc:language>
  <cp:lastModifiedBy/>
  <dcterms:modified xsi:type="dcterms:W3CDTF">2026-10-13T10:52:15Z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